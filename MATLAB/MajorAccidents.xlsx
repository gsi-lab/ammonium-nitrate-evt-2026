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Sheet1" sheetId="1" r:id="rId1"/>
    <sheet name="Nitrate" sheetId="2" r:id="rId2"/>
    <sheet name="Nitrate_2" sheetId="4"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1" i="4" l="1"/>
  <c r="G41" i="2"/>
  <c r="A39" i="2" l="1"/>
  <c r="A34" i="2"/>
  <c r="A32" i="2"/>
  <c r="A31" i="2"/>
  <c r="A30" i="2"/>
  <c r="A27" i="2"/>
  <c r="A25" i="2"/>
  <c r="A24" i="2"/>
  <c r="A21" i="2"/>
  <c r="A20" i="2"/>
  <c r="A16" i="2"/>
  <c r="A12" i="2"/>
  <c r="A11" i="2"/>
  <c r="A6" i="2"/>
  <c r="A4" i="2"/>
  <c r="A2" i="2"/>
  <c r="A80" i="2"/>
  <c r="A77" i="2"/>
  <c r="A73" i="2"/>
  <c r="A71" i="2"/>
  <c r="A70" i="2"/>
  <c r="A68" i="2"/>
  <c r="A67" i="2"/>
  <c r="A59" i="2"/>
  <c r="A54" i="2"/>
  <c r="A52" i="2"/>
  <c r="A50" i="2"/>
  <c r="A48" i="2"/>
  <c r="A47" i="2"/>
  <c r="A45" i="2"/>
  <c r="A44" i="2"/>
  <c r="A43" i="2"/>
  <c r="K32" i="2" l="1"/>
  <c r="J32" i="2"/>
  <c r="D32" i="2"/>
  <c r="J10" i="2"/>
  <c r="D10" i="2"/>
  <c r="K17" i="2"/>
  <c r="D17" i="2"/>
  <c r="K5" i="2"/>
  <c r="J5" i="2"/>
  <c r="D5" i="2"/>
  <c r="H13" i="1" l="1"/>
  <c r="H40" i="2" l="1"/>
  <c r="H39" i="2"/>
  <c r="H38" i="2"/>
  <c r="H37" i="2"/>
  <c r="H36" i="2"/>
  <c r="H35" i="2"/>
  <c r="H33" i="2"/>
  <c r="H29" i="2"/>
  <c r="H26" i="2"/>
  <c r="H27" i="2"/>
  <c r="H25" i="2"/>
  <c r="H22" i="2"/>
  <c r="H23" i="2"/>
  <c r="H19" i="2"/>
  <c r="H20" i="2"/>
  <c r="H21" i="2"/>
  <c r="H18" i="2"/>
  <c r="H13" i="2"/>
  <c r="H12" i="2"/>
  <c r="H11" i="2"/>
  <c r="H9" i="2"/>
  <c r="H8" i="2"/>
  <c r="H6" i="2"/>
  <c r="D5" i="1" l="1"/>
</calcChain>
</file>

<file path=xl/sharedStrings.xml><?xml version="1.0" encoding="utf-8"?>
<sst xmlns="http://schemas.openxmlformats.org/spreadsheetml/2006/main" count="591" uniqueCount="344">
  <si>
    <t>Year</t>
  </si>
  <si>
    <t>Casualties</t>
  </si>
  <si>
    <t>Comment</t>
  </si>
  <si>
    <t>Injuries</t>
  </si>
  <si>
    <t>immediately killed</t>
  </si>
  <si>
    <t>total</t>
  </si>
  <si>
    <t>killed as a consequence/after gas release</t>
  </si>
  <si>
    <t>between 3,000 and 10,000 people. Ingrid Eckerman: The Bhopal Saga – Causes and
Consequences of the World’s Largest Industrial Disaster. Published by Universities Press (India) Private Limited 2005.
ISBN 81 7371 515 7.</t>
  </si>
  <si>
    <t>Tianjin explosion in chemical storage facility China: https://en.wikipedia.org/wiki/2015_Tianjin_explosions</t>
  </si>
  <si>
    <t>Beirut Explosion, Lebanon: https://en.wikipedia.org/wiki/2020_Beirut_explosion</t>
  </si>
  <si>
    <r>
      <t>•</t>
    </r>
    <r>
      <rPr>
        <b/>
        <sz val="10"/>
        <color rgb="FF000000"/>
        <rFont val="Verdana"/>
        <family val="2"/>
      </rPr>
      <t xml:space="preserve">Bhopal, India (1984)*; –methyl isocyanate leak; different sources report different casualties. See https://en.wikipedia.org/wiki/Bhopal_disaster#cite_note-Eckerman2005-5 </t>
    </r>
  </si>
  <si>
    <t>at least</t>
  </si>
  <si>
    <t>; https://en.wikipedia.org/wiki/2005_Jilin_chemical_plant_explosions;: Petrochemical explosion China</t>
  </si>
  <si>
    <t>Oppau Germany; https://en.wikipedia.org/wiki/Oppau_explosion</t>
  </si>
  <si>
    <t>Texas City, USA (1947); –Chemical ship explosion;https://en.wikipedia.org/wiki/Texas_City_disaster</t>
  </si>
  <si>
    <t>https://en.wikipedia.org/wiki/West_Fertilizer_Company_explosion</t>
  </si>
  <si>
    <t>Country</t>
  </si>
  <si>
    <t>Location</t>
  </si>
  <si>
    <t>Date</t>
  </si>
  <si>
    <t>Deaths</t>
  </si>
  <si>
    <t>AN (tonnes)</t>
  </si>
  <si>
    <t>Notes</t>
  </si>
  <si>
    <t> United States</t>
  </si>
  <si>
    <t>Gibbstown, New Jersey</t>
  </si>
  <si>
    <t>January 14, 1916</t>
  </si>
  <si>
    <t>1.81</t>
  </si>
  <si>
    <t>In an evaporating pan of the Repauno works, du Pont Co., 4,000 pounds of ammonium nitrate exploded, possibly caused by a clogged air lance leading to overheating of the nitrate. 1 man was killed and 12 were injured.[2]</t>
  </si>
  <si>
    <t>Oakdale, Pennsylvania</t>
  </si>
  <si>
    <t>September 15, 1916</t>
  </si>
  <si>
    <t>1.36</t>
  </si>
  <si>
    <t>Nixon, New Jersey</t>
  </si>
  <si>
    <t>March 1, 1924</t>
  </si>
  <si>
    <t>Muscle Shoals, Alabama</t>
  </si>
  <si>
    <t>May 3, 1925</t>
  </si>
  <si>
    <t>Texas City</t>
  </si>
  <si>
    <t>April 16, 1947</t>
  </si>
  <si>
    <t>Presque Isle, Maine</t>
  </si>
  <si>
    <t>August 26, 1947</t>
  </si>
  <si>
    <t>An A.W. Higgins Company plant was destroyed by a spontaneous heating in a pile of mixed fertilizer. Stored in the plant were 240 tons of Ammonium Nitrate.[2]</t>
  </si>
  <si>
    <t>Roseburg, Oregon</t>
  </si>
  <si>
    <t>August 7, 1959</t>
  </si>
  <si>
    <t>4.1</t>
  </si>
  <si>
    <t>Traskwood, Arkansas</t>
  </si>
  <si>
    <t>December 17, 1960</t>
  </si>
  <si>
    <t>140-180</t>
  </si>
  <si>
    <t>Kansas City, Missouri</t>
  </si>
  <si>
    <t>November 29, 1988</t>
  </si>
  <si>
    <t>23 (ANFO)</t>
  </si>
  <si>
    <t>Port Neal, Iowa</t>
  </si>
  <si>
    <t>December 13, 1994</t>
  </si>
  <si>
    <t>Bryan, Texas</t>
  </si>
  <si>
    <t>July 30, 2009</t>
  </si>
  <si>
    <t>West, Texas</t>
  </si>
  <si>
    <t>April 17, 2013</t>
  </si>
  <si>
    <t>Winston-Salem, North Carolina</t>
  </si>
  <si>
    <t>January 31, 2022</t>
  </si>
  <si>
    <t> United Kingdom</t>
  </si>
  <si>
    <t>Faversham, Kent</t>
  </si>
  <si>
    <t>April 2, 1916</t>
  </si>
  <si>
    <t> Spain</t>
  </si>
  <si>
    <t>Cartagena, Murcia</t>
  </si>
  <si>
    <t>The fertilizer storage facility of Fertiberia held a self-sustained decomposition (SSD) fire in January 2003. The fire was controlled after most of the material was removed by mechanical means.[citation needed]</t>
  </si>
  <si>
    <t>Barracas</t>
  </si>
  <si>
    <t>March 9, 2004</t>
  </si>
  <si>
    <t>A truck carrying 25 tonnes of ammonium nitrate fertilizer exploded half an hour after a traffic accident on March 9, 2004 at 12:45, killing two people and injuring five others. The explosion, which could be heard at a distance of several kilometers caused a crater five metres deep.[28]</t>
  </si>
  <si>
    <t>Estaca de Bares</t>
  </si>
  <si>
    <t> Romania</t>
  </si>
  <si>
    <t>Mihăileşti, Buzău</t>
  </si>
  <si>
    <t>May 24, 2004</t>
  </si>
  <si>
    <t>Mihăileşti explosion: A truck carrying 20 tonnes of ammonium nitrate tipped over on the European road E85 near Mihăileşti at 4:57 AM on May 24, 2004. Shortly afterwards, a fire started in the cabin. Two reporters got to the site of the accident and started filming while firemen were trying to stop the fire. Around 5:50 AM the truck exploded, killing 18 and wounding 13 people. A crater 6.5 meters deep and 42 meters in diameter was formed by the explosion.</t>
  </si>
  <si>
    <t> Papua New Guinea</t>
  </si>
  <si>
    <t>Porgera Gold Mine</t>
  </si>
  <si>
    <t>August 2, 1994</t>
  </si>
  <si>
    <t>80 (ANE)</t>
  </si>
  <si>
    <t> North Korea</t>
  </si>
  <si>
    <t>Ryongchŏn</t>
  </si>
  <si>
    <t>April 22, 2004</t>
  </si>
  <si>
    <t> Mexico</t>
  </si>
  <si>
    <t>Monclova, Coahuila</t>
  </si>
  <si>
    <t>September 9, 2007</t>
  </si>
  <si>
    <t>22 (ANFO)</t>
  </si>
  <si>
    <t> Lebanon</t>
  </si>
  <si>
    <t>Beirut</t>
  </si>
  <si>
    <t>August 4, 2020</t>
  </si>
  <si>
    <t> Germany</t>
  </si>
  <si>
    <t>Kriewald</t>
  </si>
  <si>
    <t>July 26, 1921</t>
  </si>
  <si>
    <t>On July 26, 1921, in this railway town (now in Poland) workers tried to dislodge 30 tonnes of ammonium nitrate that had aggregated (solidified into one mass) in two wagons. When mining explosives were used on this solid mass the wagons exploded and killed nineteen people.</t>
  </si>
  <si>
    <t>Oppau</t>
  </si>
  <si>
    <t>September 21, 1921</t>
  </si>
  <si>
    <t> France</t>
  </si>
  <si>
    <t>Miramas</t>
  </si>
  <si>
    <t>August 5, 1940</t>
  </si>
  <si>
    <t>240 tonnes of ammonium nitrate in sacks exploded after being hit by a shell from a nearby fire in a munitions train.[7]</t>
  </si>
  <si>
    <t>Brest</t>
  </si>
  <si>
    <t>July 28, 1947</t>
  </si>
  <si>
    <t>1,700-3,309</t>
  </si>
  <si>
    <t>Toulouse</t>
  </si>
  <si>
    <t>September 21, 2001</t>
  </si>
  <si>
    <t>200-300</t>
  </si>
  <si>
    <t>Saint-Romain-en-Jarez</t>
  </si>
  <si>
    <t>October 2, 2003</t>
  </si>
  <si>
    <t>A fire broke out in Saint-Romain-en-Jarez (Loire) in a barn, which at the time of the accident contained a gasoline-powered forklift, a battery charger, two 13-kg gas bottles, miscellaneous farm machinery, 500 kg of quicklime, 500 wooden crates, 6,000 to 7,000 plastic crates, and between 3 and 5 tonnes of ammonium nitrate packaged in big bags. Bales of hay and straw were being stored on the mezzanine and ≈500 kg apples kept in the cold storage rooms. The fire started around 3 PM, and fire-fighters were notified of the blaze at 4:02 PM. They arrived on the scene at 4:23 and started to extinguish the fire. At 5:12 PM the explosion occurred. Twenty-six people were injured from the blast, most of them fire-fighters.[27]</t>
  </si>
  <si>
    <t> Finland</t>
  </si>
  <si>
    <t>Oulu</t>
  </si>
  <si>
    <t>January 9, 1963</t>
  </si>
  <si>
    <t>On January 9, 1963, an explosion at the Typpi Oy industrial site in the Takalaanila neighborhood of Oulu killed ten people. The accident happened past midnight, at 12:54 AM. The blast shattered hundreds of windows in the city center, over two kilometers away, and hurled bricks and chunks of concrete several kilometers away. The blast was heard 45 km away, and registered by the seismographs at the Sodankylä geophysical observatory, over 270 km away.[16] The cause of the explosion was the ignition of ammonium nitrate used as raw material for fertilizer and explosives.</t>
  </si>
  <si>
    <t> China</t>
  </si>
  <si>
    <t>January 6, 1998</t>
  </si>
  <si>
    <t>27.6</t>
  </si>
  <si>
    <t>Port of Tianjin</t>
  </si>
  <si>
    <t>August 12, 2015</t>
  </si>
  <si>
    <t> Canada</t>
  </si>
  <si>
    <t>St. Stephen, New Brunswick</t>
  </si>
  <si>
    <t>The Summers Fertilizer Company plant suffered a fire, causing 400 tons of stored ammonium nitrate to be consumed by fire. There was no explosion.[2]</t>
  </si>
  <si>
    <t> Belgium</t>
  </si>
  <si>
    <t>Tessenderlo</t>
  </si>
  <si>
    <t>April 29, 1942</t>
  </si>
  <si>
    <t>An attempt to disaggregate a pile of 150 tonnes of ammonium nitrate with industrial explosives killed 189 people and wounded another 900.[8]</t>
  </si>
  <si>
    <t> Australia</t>
  </si>
  <si>
    <t>Taroom, Queensland</t>
  </si>
  <si>
    <t>August 30, 1972</t>
  </si>
  <si>
    <t>Wyandra, Queensland</t>
  </si>
  <si>
    <t>September 5, 2014</t>
  </si>
  <si>
    <t>An Aetna Chemical Co. plant suffered an explosion of 3,000 pounds of ammonium nitrate, while concentrating it in a pan by evaporation. The speculated cause was impurities within the nitric acid used to produce the ammonium nitrate. Six men were killed and eight injured. The shock wave was felt at a distance of 7 miles.[2]</t>
  </si>
  <si>
    <t>1924 Nixon Nitration Works disaster: On March 1, 1924, at 11:15 a.m., a fire and several large explosions destroyed a warehouse containing 4800 pounds of ammonium nitrate at the Nixon Nitration Works. The explosiveness of the product was perhaps enhanced, as it had been prepared using nitric acid that had previously been used for the production of TNT.[2]</t>
  </si>
  <si>
    <t>On April 4, 1925, and May 3, 1925, two carloads, each containing 220 barrels of ammonium nitrate, were dispatched from Muscle Shoals, Alabama, and caught fire in transportation. The barrels had been stored in a warehouse with varying humidity for 6 years, so it is believed that they were ignited by friction with their nitrate-impregnated manila paper lining. Other shipments were reportedly more successful.[6]</t>
  </si>
  <si>
    <t>Texas City disaster: The cargo ship Grandcamp was being loaded on April 16, 1947, when a fire was detected in the hold: at this point, 2,300 tons of ammonium nitrate in sacks were already aboard.[9] The captain responded by closing the hold and pumping in pressurised steam. At 9:12, the ship exploded, killing several hundred people and setting fire to another vessel, the High Flyer, which was moored 250 metres away and which contained 1,050 tonnes of sulfur and 960 tons of ammonium nitrate. The Grandcamp explosion also created a powerful earthshock that broke windows as far as 40 miles away and knocked two small planes flying at 1,500 feet (460 m) out of the sky. The High Flyer exploded the next day, after having burned for sixteen hours. 500 tonnes of ammonium nitrate on the quayside also burned, but without exploding, probably because it was less tightly packed. All but one member of the Texas City fire department died.</t>
  </si>
  <si>
    <t>The Roseburg Blast: A truck carrying dynamite and 4.5 tons of ammonium nitrate caught fire early in the morning of August 7, 1959. The explosion happened at 1:14 a.m. and killed 14 people and injured 125 more. Several blocks of downtown Roseburg were destroyed. The accident is locally referred to as "The Blast".[13]</t>
  </si>
  <si>
    <t>On December 17, 1960, a 96 freight car train suffered partial derailment, in which the last 23 cars were derailed. The derailed cars included: four fuel oil tank cars, two tank cars of gasoline, three tank cars of petroleum oil, four cars of lube oil drums, three cars of liquid fertilizer, one car of fuming nitric acid and two cars of fertilizer grade ammonium nitrate. In this particular accident, neither car of ammonium nitrate exploded.[14] However, the nitric acid reacted with the fuel oil, possibly creating nitrated aromatic compounds, whose explosion resulted in the spread of the ammonium nitrate material around the incident site.[15]</t>
  </si>
  <si>
    <t>On November 29, 1988, at 4:07 AM two trailers containing approximately 50,000 lb (23,000 kg) of the explosive ANFO (ammonium nitrate with fuel oil) exploded at a construction site located near the 87th street exit of Highway 71 in Kansas City, Missouri. The explosives were to be used in the blasting of rock while constructing Highway 71. The result of the explosions were the deaths of six firemen from the Kansas City Fire Department's Pumper Companies 30 and 41. Both companies were dispatched after 911 calls indicated that a pickup truck located near the trailers had been set on fire. The responding companies were warned that there were explosives on-site; however, they were unaware that the trailers were essentially magazines filled with explosives. At 4:07 AM one of the "magazines" caught fire and a catastrophic explosion occurred, killing all six firemen instantly — only sparing remains were found. A second blast occurred 40 minutes later, although all fire crews had been pulled back at this time. The blasts created two craters, each approximately 100 feet (30 m) wide and 8 feet (2.4 m) deep. The explosions also shattered windows within a 10-mile (16 km) area and could be heard 40 miles (64 km) away. It was later determined that the explosions were acts of arson, set by individuals embroiled in a labor dispute with the construction company contracted to build the highway.[21][22]</t>
  </si>
  <si>
    <t>Port Neal fertilizer plant explosion: At about 6:06 AM on December 13, 1994, two explosions rocked the Port Neal, Iowa, ammonium nitrate processing plant operated by Terra Industries. Four people were killed and 18 injured. Approximately 5,700 tons of anhydrous ammonia were released and releases of ammonia continued for six days after the explosions. Groundwater under the processing plant was contaminated by chemicals released as a result of the blast. The timing of the explosion occurred prior to the start of the arrival of the 8:00 AM shift personnel, or the death toll might have been larger.[24][25]</t>
  </si>
  <si>
    <t>A plant in Bryan, Texas (El Dorado Chemical Company), which processes ammonium nitrate into fertilizer, caught fire at about 11:40 AM on July 30, 2009. Over 80,000 residents in the Bryan/College Station area were asked to evacuate south of town due to the toxic fumes this fire generated. Texas A&amp;M University provided shelter at Reed Arena, a local venue on campus. Only minor injuries were reported.[32][33]</t>
  </si>
  <si>
    <t>West Fertilizer Company explosion: A fertilizer company in West, Texas, caught fire. At around 19:50, ammonium nitrate stored there exploded, leveling roughly 80 homes and a middle school. 133 residents of a nearby nursing home were trapped in the ruins. In all, 15 were killed, and about 200 injured. There were reports that the facility had stored more ammonium nitrate than it was allowed to, without regulation by the Department of Homeland Security.[34][35]</t>
  </si>
  <si>
    <t>A fire which began January 31, 2022 destroyed the Winston Weaver Company fertilizer plant in Winston-Salem, North Carolina. An hour after firefighters arrived it was determined a railroad car near the building contained 82 tonnes of ammonium nitrate, and after studying the West Fertilizer Company explosion, those in charge learned from plant officials that more than 450 tonnes of ammonium nitrate were stored in the plant. Firefighters were evacuated and for a one-mile radius around the plant, residents were asked to leave[45] because city fire chief Trey Mayo feared "one of the worst explosions in U.S. history". Residents were able to return home February 3, though a mandatory evacuation was considered. By February 7, investigators could enter the plant.[46]</t>
  </si>
  <si>
    <t>The Great Explosion: On April 2, 1916, at 14:20, a factory in Uplees, Faversham, exploded after a fire spread to a store of 25 tons of TNT and 700 tons of ammonium nitrate. The blast at the Explosives Loading Company killed 115 people and shattered windows in Southend-on-Sea across the Thames Estuary while the tremor was felt in Norwich.[3]</t>
  </si>
  <si>
    <t>The NPK fertilizer cargo of the ship Ostedijk sustained a self-sustained decomposition (SSD) fire for 11 days. The ship carried a total of 6012 tonnes of NPK. Cargo hold 2, where the decomposition occurred, contained 2627 tonnes of fertilizer. NPK fertilizer contains about 15% ammonium nitrate. The fire plume reached 10 m in diameter and several hundred meters in length. Special water spears were inserted inside the cargo to extinguish the fire.[29]</t>
  </si>
  <si>
    <t>At 9:45 am, 2 August 1994, 11 workers were killed when the sensitised AN emulsion plant they were working on exploded at the Porgera Gold Mine. The fatal explosion involved at most a few tonnes of explosive. A larger explosion of about 80 tonnes of emulsion (Ammonium Nitrate Emulsion, ANE, UN 3375) was caused by fires under storage facilities at the site at 11:02 AM. There were no fatalities in the second explosion because the site had been evacuated. A mushroom cloud was seen to rise.[23]</t>
  </si>
  <si>
    <t>Ryongchon disaster: A freight train carrying ammonium nitrate exploded in this important railway town near the Chinese border on April 22, 2004 at around 13:00, killing 162 people and injuring over 3,000 others. The train station was destroyed, as were most buildings within 500 metres, and nearly 8,000 homes were destroyed or damaged. Two craters of about ten metres in depth were seen at the site of the explosion. The authorities blamed "human error" for the explosion, although rumours persist that it was in fact an attempt to assassinate the North Korean leader Kim Jong-il, who was due to be passing through the station at the time.</t>
  </si>
  <si>
    <t>On September 9, 2007, at around 20:00, near Monclova, Coahuila, México, a pickup truck lost control and crashed into a trailer loaded with 22 tons of ammonium nitrate and fuel oil explosives (ANFO) leaving three occupants in the pick-up truck dead in the crash. A fire then started in the trailer's cabin and at around 20:43, a huge explosion occurred, resulting in 28 deaths and around 150 more people injured. A crater 9 m (30 ft) wide and 1.8 m (6 ft) deep was created due to the explosion.[30][31]</t>
  </si>
  <si>
    <t>2020 Beirut explosion: On August 4, a major fire broke out in a Port of Beirut warehouse and spread to 2,750 tonnes of ammonium nitrate which had been impounded and stored for six years after it was seized from an abandoned ship in 2014.[39][40] The explosion happened at 18:10, causing immense damage throughout the entire city from the shock wave that was reportedly so intense it was felt in Cyprus, an island about 250 km (150 miles) north-west of Lebanon.[41] A giant orange cloud was seen following the detonation. As of August 20, 2020, there are at least 6500 confirmed injuries and over 200 confirmed deaths.[42][43] According to Beirut's city governor, up to 300,000 people have lost their homes.[42] The yield of the explosion in terms of TNT equivalent mass was estimated to be 0.5 kilotons as a "best estimate" and 1.12 kilotons as a "reasonable upper bound estimate", a study from the Blast and Impact Research Group at the University of Sheffield shows.[44]</t>
  </si>
  <si>
    <t>Explosion at BASF plant Oppau: Another attempt at disaggregation of a fertilizer mix with industrial explosives caused the death of 561 people and left more than 2,000 injured. The explosion happened at 7:32 a.m. The fertilizer was a 50:50 mixture of ammonium nitrate and ammonium sulfate and the factory had used this method of disaggregation over 20,000 times without incident. It is thought that, on this occasion, poor mixing had led to certain parts of the mass containing more ammonium nitrate than others. Only 450 tonnes exploded, out of 4500 tonnes of fertilizer stored in the warehouse.[4][5]</t>
  </si>
  <si>
    <t>The Norwegian cargo ship Ocean Liberty was loaded with 3,309 tonnes of ammonium nitrate and various flammable products when it caught fire at 12:30 July 28, 1947. The captain ordered the hold to be sealed and pressurised steam was pumped in. As this did not stop the fire, the vessel was towed out of the harbour at 14:00, and exploded at 17:00. The explosion caused 29 deaths and serious damage to the port of Brest.[2][10][11]</t>
  </si>
  <si>
    <t>AZF: On September 21, 2001, at 10:15 AM, in the AZF (Azote de France) fertiliser factory in Toulouse, France, an explosion occurred in a warehouse where the off-specification granular AN was stored flat, separated by partitions. About 200–300 tonnes were said to be involved in the explosion, resulting in 31 people dead and 2,442 injured, 34 of them seriously. The blast wave shattered windows up to 3 km away, and the resulting crater was 10 m deep and 50 m wide. The exact cause remains unknown. The material damage was estimated at 2.3 billion euros. France's Environment Minister initially suggested the explosion "may have been a terrorist attack" as it occurred soon after the September 11 attacks and one worker may have had militant views.</t>
  </si>
  <si>
    <t>Xingping, Shaanxi</t>
  </si>
  <si>
    <t>At 23:03 on January 6, 1998, the Xinghua Fertilizer company had a series of explosions in the plant. About 27.6 tons of ammonium nitrate liquor was in a container there. The explosion claimed 22 lives, with a further 56 wounded. The explosion was officially announced as an accident.[26][citation needed]</t>
  </si>
  <si>
    <t>2015 Tianjin explosions: Nitrocellulose stored at a hazardous goods warehouse spontaneously combusted after becoming overly hot and dry, resulting in a fire that 40 minutes later, at around 23:30, triggered the detonation of about 800 tonnes of ammonium nitrate stored nearby. 110 emergency personnel and 55 residents and employees were killed, while eight are missing[needs update]. 798 people were injured.[38] There was extensive damage to structures and goods at the port, damage to surrounding apartment blocks, and severe damage to a railway station. On August 15, 2015, there were again 8 consecutive explosions, at around 23:40.</t>
  </si>
  <si>
    <t>In the 1972 Taroom explosion, a truck carrying 12 tons of ammonium nitrate experienced an electrical fault and caught fire north of Taroom, Queensland. After the driver stopped and parked the burning truck, two brothers from a nearby cattle property who saw the fire rode up on motorbikes to assist. The three men were killed when the truck exploded at around 18:15. The explosion burnt out more than 800 hectares (2,000 acres) of surrounding bushland, and left a deep crater where the truck had been parked. A memorial to the three men was unveiled at the accident site in 2013.[17][18][19][20]</t>
  </si>
  <si>
    <t>A truck carrying 56 tonnes rolled on a rural road, exploding shortly after the driver was rescued. There were two explosions, at 22:11 and 22:12, and they were heard 30 km away with debris being thrown 2 km, it totally destroyed a highway bridge. The driver and six firemen were injured.[36][37]</t>
  </si>
  <si>
    <t>https://en.wikipedia.org/wiki/List_of_ammonium_nitrate_disasters</t>
  </si>
  <si>
    <t>Flixborough, UK (1974);–Vapor cloud explosion ; https://en.wikipedia.org/wiki/Flixborough_disaster</t>
  </si>
  <si>
    <t>Deep water horizon oil spill; USA; https://en.wikipedia.org/wiki/Deepwater_Horizon_oil_spill#Explosion</t>
  </si>
  <si>
    <t>Financial cost</t>
  </si>
  <si>
    <t>54 billion USD</t>
  </si>
  <si>
    <t>2,086 + - 870</t>
  </si>
  <si>
    <t># Accidents</t>
  </si>
  <si>
    <t>Talara, Peru</t>
  </si>
  <si>
    <t>Talara Oil Refinery Fire - Fire at an oil refinery.</t>
  </si>
  <si>
    <t>El Reno, USA</t>
  </si>
  <si>
    <t>El Reno Well Explosion - Oil well explosion.</t>
  </si>
  <si>
    <t>Leverkusen, Germany</t>
  </si>
  <si>
    <t>Leverkusen Chemical Plant Explosion - Explosion at a chemical plant.</t>
  </si>
  <si>
    <t>Lanzhou, China</t>
  </si>
  <si>
    <t>Lanzhou Chemical Plant Explosion - Explosion at a chemical plant.</t>
  </si>
  <si>
    <t>January 1, 2003</t>
  </si>
  <si>
    <t>February 21, 2007</t>
  </si>
  <si>
    <t>July 1, 1947</t>
  </si>
  <si>
    <t>ID</t>
  </si>
  <si>
    <r>
      <rPr>
        <sz val="8"/>
        <color rgb="FF7E7E80"/>
        <rFont val="Arial"/>
        <family val="2"/>
      </rPr>
      <t xml:space="preserve">1916
</t>
    </r>
    <r>
      <rPr>
        <sz val="8"/>
        <color rgb="FF7E7E80"/>
        <rFont val="Arial"/>
        <family val="2"/>
      </rPr>
      <t>2-Apr</t>
    </r>
  </si>
  <si>
    <r>
      <rPr>
        <sz val="8"/>
        <color rgb="FF7E7E80"/>
        <rFont val="Arial"/>
        <family val="2"/>
      </rPr>
      <t>United Kingdom</t>
    </r>
  </si>
  <si>
    <r>
      <rPr>
        <sz val="8"/>
        <color rgb="FF7E7E80"/>
        <rFont val="Arial"/>
        <family val="2"/>
      </rPr>
      <t>Faversham, Kent</t>
    </r>
  </si>
  <si>
    <r>
      <rPr>
        <sz val="8"/>
        <color rgb="FF7E7E80"/>
        <rFont val="Arial"/>
        <family val="2"/>
      </rPr>
      <t>Storage</t>
    </r>
  </si>
  <si>
    <r>
      <rPr>
        <sz val="8"/>
        <color rgb="FF7E7E80"/>
        <rFont val="Arial"/>
        <family val="2"/>
      </rPr>
      <t>A fire spread to 25 tons ofTNT and 700 tons of AN stored at a factory in Uplees, Faversham  which then exploded.</t>
    </r>
    <r>
      <rPr>
        <vertAlign val="superscript"/>
        <sz val="8"/>
        <color rgb="FF9A9A9C"/>
        <rFont val="Arial"/>
        <family val="2"/>
      </rPr>
      <t>72</t>
    </r>
  </si>
  <si>
    <r>
      <rPr>
        <sz val="8"/>
        <color rgb="FF7E7E80"/>
        <rFont val="Arial"/>
        <family val="2"/>
      </rPr>
      <t xml:space="preserve">1924
</t>
    </r>
    <r>
      <rPr>
        <sz val="8"/>
        <color rgb="FF7E7E80"/>
        <rFont val="Arial"/>
        <family val="2"/>
      </rPr>
      <t>1-Mar</t>
    </r>
  </si>
  <si>
    <r>
      <rPr>
        <sz val="8"/>
        <color rgb="FF7E7E80"/>
        <rFont val="Arial"/>
        <family val="2"/>
      </rPr>
      <t>United States</t>
    </r>
  </si>
  <si>
    <r>
      <rPr>
        <sz val="8"/>
        <color rgb="FF7E7E80"/>
        <rFont val="Arial"/>
        <family val="2"/>
      </rPr>
      <t>Nixon, New Jersey</t>
    </r>
  </si>
  <si>
    <r>
      <rPr>
        <sz val="8"/>
        <color rgb="FF7E7E80"/>
        <rFont val="Arial"/>
        <family val="2"/>
      </rPr>
      <t xml:space="preserve">A warehouse containing 4,800 pounds of AN at the Nixon Nitration Works was destroyed by a fire and several large ex-
</t>
    </r>
    <r>
      <rPr>
        <sz val="8"/>
        <color rgb="FF7E7E80"/>
        <rFont val="Arial"/>
        <family val="2"/>
      </rPr>
      <t>plosions</t>
    </r>
    <r>
      <rPr>
        <sz val="8"/>
        <color rgb="FF9A9A9C"/>
        <rFont val="Arial"/>
        <family val="2"/>
      </rPr>
      <t xml:space="preserve">. </t>
    </r>
    <r>
      <rPr>
        <sz val="8"/>
        <color rgb="FF7E7E80"/>
        <rFont val="Arial"/>
        <family val="2"/>
      </rPr>
      <t>The explosiveness of the product may have been enhanced by impurities present in the nitric acid which had been used previously for producing TNT.</t>
    </r>
    <r>
      <rPr>
        <vertAlign val="superscript"/>
        <sz val="8"/>
        <color rgb="FF9A9A9C"/>
        <rFont val="Arial"/>
        <family val="2"/>
      </rPr>
      <t>73</t>
    </r>
  </si>
  <si>
    <r>
      <rPr>
        <sz val="8"/>
        <color rgb="FF7E7E80"/>
        <rFont val="Arial"/>
        <family val="2"/>
      </rPr>
      <t xml:space="preserve">1940
</t>
    </r>
    <r>
      <rPr>
        <sz val="8"/>
        <color rgb="FF7E7E80"/>
        <rFont val="Arial"/>
        <family val="2"/>
      </rPr>
      <t>5-Aug</t>
    </r>
  </si>
  <si>
    <r>
      <rPr>
        <sz val="8"/>
        <color rgb="FF7E7E80"/>
        <rFont val="Arial"/>
        <family val="2"/>
      </rPr>
      <t>France</t>
    </r>
  </si>
  <si>
    <r>
      <rPr>
        <sz val="8"/>
        <color rgb="FF7E7E80"/>
        <rFont val="Arial"/>
        <family val="2"/>
      </rPr>
      <t>Miramas</t>
    </r>
  </si>
  <si>
    <r>
      <rPr>
        <sz val="8"/>
        <color rgb="FF7E7E80"/>
        <rFont val="Arial"/>
        <family val="2"/>
      </rPr>
      <t>Storage (warehouse)</t>
    </r>
  </si>
  <si>
    <r>
      <rPr>
        <sz val="8"/>
        <color rgb="FF7E7E80"/>
        <rFont val="Arial"/>
        <family val="2"/>
      </rPr>
      <t>240 tonnes of AN exploded from the impact of a shell thrown from a fire in a nearby munitions train.</t>
    </r>
    <r>
      <rPr>
        <vertAlign val="superscript"/>
        <sz val="8"/>
        <color rgb="FF9A9A9C"/>
        <rFont val="Arial"/>
        <family val="2"/>
      </rPr>
      <t>74</t>
    </r>
  </si>
  <si>
    <r>
      <rPr>
        <sz val="8"/>
        <color rgb="FF7E7E80"/>
        <rFont val="Arial"/>
        <family val="2"/>
      </rPr>
      <t xml:space="preserve">1947
</t>
    </r>
    <r>
      <rPr>
        <sz val="8"/>
        <color rgb="FF7E7E80"/>
        <rFont val="Arial"/>
        <family val="2"/>
      </rPr>
      <t>26-Aug</t>
    </r>
  </si>
  <si>
    <r>
      <rPr>
        <sz val="8"/>
        <color rgb="FF7E7E80"/>
        <rFont val="Arial"/>
        <family val="2"/>
      </rPr>
      <t>Presque Isle, Maine</t>
    </r>
  </si>
  <si>
    <r>
      <rPr>
        <sz val="8"/>
        <color rgb="FF7E7E80"/>
        <rFont val="Arial"/>
        <family val="2"/>
      </rPr>
      <t>Spontaneous heating in a stack of mixed fertilizer destroyed 240 tons of AN stored at a plant of the A.W</t>
    </r>
    <r>
      <rPr>
        <sz val="8"/>
        <color rgb="FF9A9A9C"/>
        <rFont val="Arial"/>
        <family val="2"/>
      </rPr>
      <t xml:space="preserve">. </t>
    </r>
    <r>
      <rPr>
        <sz val="8"/>
        <color rgb="FF7E7E80"/>
        <rFont val="Arial"/>
        <family val="2"/>
      </rPr>
      <t>Higgins Company.</t>
    </r>
    <r>
      <rPr>
        <vertAlign val="superscript"/>
        <sz val="5"/>
        <color rgb="FF9A9A9C"/>
        <rFont val="Arial"/>
        <family val="2"/>
      </rPr>
      <t>75</t>
    </r>
  </si>
  <si>
    <r>
      <rPr>
        <sz val="8"/>
        <color rgb="FF7E7E80"/>
        <rFont val="Arial"/>
        <family val="2"/>
      </rPr>
      <t>Canada</t>
    </r>
  </si>
  <si>
    <r>
      <rPr>
        <sz val="8"/>
        <color rgb="FF7E7E80"/>
        <rFont val="Arial"/>
        <family val="2"/>
      </rPr>
      <t>St. Stephen, New Brunswick</t>
    </r>
  </si>
  <si>
    <r>
      <rPr>
        <sz val="8"/>
        <color rgb="FF7E7E80"/>
        <rFont val="Arial"/>
        <family val="2"/>
      </rPr>
      <t>Storage (plant)</t>
    </r>
  </si>
  <si>
    <r>
      <rPr>
        <sz val="8"/>
        <color rgb="FF7E7E80"/>
        <rFont val="Arial"/>
        <family val="2"/>
      </rPr>
      <t>Fire at the Summers Fertilizer Company (St. Stephen, New Brunswick) burned 400 tons of stored AN; no explosion occurred.</t>
    </r>
    <r>
      <rPr>
        <vertAlign val="superscript"/>
        <sz val="5"/>
        <color rgb="FF9A9A9C"/>
        <rFont val="Arial"/>
        <family val="2"/>
      </rPr>
      <t>75</t>
    </r>
  </si>
  <si>
    <r>
      <rPr>
        <sz val="8"/>
        <color rgb="FF7E7E80"/>
        <rFont val="Arial"/>
        <family val="2"/>
      </rPr>
      <t xml:space="preserve">1963
</t>
    </r>
    <r>
      <rPr>
        <sz val="8"/>
        <color rgb="FF7E7E80"/>
        <rFont val="Arial"/>
        <family val="2"/>
      </rPr>
      <t>9-Jan</t>
    </r>
  </si>
  <si>
    <r>
      <rPr>
        <sz val="8"/>
        <color rgb="FF7E7E80"/>
        <rFont val="Arial"/>
        <family val="2"/>
      </rPr>
      <t>Finland</t>
    </r>
  </si>
  <si>
    <r>
      <rPr>
        <sz val="8"/>
        <color rgb="FF7E7E80"/>
        <rFont val="Arial"/>
        <family val="2"/>
      </rPr>
      <t>Oulu</t>
    </r>
  </si>
  <si>
    <r>
      <rPr>
        <sz val="8"/>
        <color rgb="FF7E7E80"/>
        <rFont val="Arial"/>
        <family val="2"/>
      </rPr>
      <t>AN used for fertilizer and explosives at the Typpi Oy industrial site in Oulu caught fire and exploded.</t>
    </r>
    <r>
      <rPr>
        <vertAlign val="superscript"/>
        <sz val="5"/>
        <color rgb="FF9A9A9C"/>
        <rFont val="Arial"/>
        <family val="2"/>
      </rPr>
      <t>76</t>
    </r>
  </si>
  <si>
    <r>
      <rPr>
        <sz val="8"/>
        <color rgb="FF7E7E80"/>
        <rFont val="Arial"/>
        <family val="2"/>
      </rPr>
      <t xml:space="preserve">1988
</t>
    </r>
    <r>
      <rPr>
        <sz val="8"/>
        <color rgb="FF7E7E80"/>
        <rFont val="Arial"/>
        <family val="2"/>
      </rPr>
      <t>29-Nov</t>
    </r>
  </si>
  <si>
    <r>
      <rPr>
        <sz val="8"/>
        <color rgb="FF7E7E80"/>
        <rFont val="Arial"/>
        <family val="2"/>
      </rPr>
      <t>Kansas City, Missouri</t>
    </r>
  </si>
  <si>
    <r>
      <rPr>
        <sz val="8"/>
        <color rgb="FF7E7E80"/>
        <rFont val="Arial"/>
        <family val="2"/>
      </rPr>
      <t>23 (ANFO**)</t>
    </r>
  </si>
  <si>
    <r>
      <rPr>
        <sz val="8"/>
        <color rgb="FF7E7E80"/>
        <rFont val="Arial"/>
        <family val="2"/>
      </rPr>
      <t>Storage (trailer)</t>
    </r>
  </si>
  <si>
    <r>
      <rPr>
        <sz val="8"/>
        <color rgb="FF7E7E80"/>
        <rFont val="Arial"/>
        <family val="2"/>
      </rPr>
      <t>More than 25 tons of AN with fuel oil (ANFO) (to be used for  blasting) exploded at a construction site in Kansas City, Missouri.  Five people were convicted of arson for the explosions.</t>
    </r>
    <r>
      <rPr>
        <vertAlign val="superscript"/>
        <sz val="8"/>
        <color rgb="FF9A9A9C"/>
        <rFont val="Arial"/>
        <family val="2"/>
      </rPr>
      <t>77</t>
    </r>
  </si>
  <si>
    <r>
      <rPr>
        <sz val="8"/>
        <color rgb="FF7E7E80"/>
        <rFont val="Arial"/>
        <family val="2"/>
      </rPr>
      <t xml:space="preserve">1994
</t>
    </r>
    <r>
      <rPr>
        <sz val="8"/>
        <color rgb="FF7E7E80"/>
        <rFont val="Arial"/>
        <family val="2"/>
      </rPr>
      <t>2-Aug</t>
    </r>
  </si>
  <si>
    <r>
      <rPr>
        <sz val="8"/>
        <color rgb="FF7E7E80"/>
        <rFont val="Arial"/>
        <family val="2"/>
      </rPr>
      <t>Papua New Guinea</t>
    </r>
  </si>
  <si>
    <r>
      <rPr>
        <sz val="8"/>
        <color rgb="FF7E7E80"/>
        <rFont val="Arial"/>
        <family val="2"/>
      </rPr>
      <t>Porgera Gold Mine</t>
    </r>
  </si>
  <si>
    <r>
      <rPr>
        <sz val="8"/>
        <color rgb="FF7E7E80"/>
        <rFont val="Arial"/>
        <family val="2"/>
      </rPr>
      <t>80 (ANE)</t>
    </r>
  </si>
  <si>
    <r>
      <rPr>
        <sz val="8"/>
        <color rgb="FF7E7E80"/>
        <rFont val="Arial"/>
        <family val="2"/>
      </rPr>
      <t xml:space="preserve">Two explosions occurred at a sensitized AN emulsion (ANE) plant near the Porgera
</t>
    </r>
    <r>
      <rPr>
        <sz val="8"/>
        <color rgb="FF7E7E80"/>
        <rFont val="Arial"/>
        <family val="2"/>
      </rPr>
      <t>Gold Mine in Papua New Guinea. The initial explosion involved a few tonnes of explosive; the subsequent fire ignited about 80 tonnes of the ANE causing a larger explosion with a mushroom cloud.</t>
    </r>
    <r>
      <rPr>
        <vertAlign val="superscript"/>
        <sz val="5"/>
        <color rgb="FF9A9A9C"/>
        <rFont val="Arial"/>
        <family val="2"/>
      </rPr>
      <t>78</t>
    </r>
  </si>
  <si>
    <r>
      <rPr>
        <sz val="8"/>
        <color rgb="FF7E7E80"/>
        <rFont val="Arial"/>
        <family val="2"/>
      </rPr>
      <t xml:space="preserve">1994
</t>
    </r>
    <r>
      <rPr>
        <sz val="8"/>
        <color rgb="FF7E7E80"/>
        <rFont val="Arial"/>
        <family val="2"/>
      </rPr>
      <t>13-Dec</t>
    </r>
  </si>
  <si>
    <r>
      <rPr>
        <sz val="8"/>
        <color rgb="FF7E7E80"/>
        <rFont val="Arial"/>
        <family val="2"/>
      </rPr>
      <t>Port Neal, Iowa</t>
    </r>
  </si>
  <si>
    <r>
      <rPr>
        <sz val="8"/>
        <color rgb="FF7E7E80"/>
        <rFont val="Arial"/>
        <family val="2"/>
      </rPr>
      <t>N.A.</t>
    </r>
  </si>
  <si>
    <r>
      <rPr>
        <sz val="8"/>
        <color rgb="FF7E7E80"/>
        <rFont val="Arial"/>
        <family val="2"/>
      </rPr>
      <t xml:space="preserve">Two explosions at the Port Neal, Iowa, AN processing plant operated by Terra
</t>
    </r>
    <r>
      <rPr>
        <sz val="8"/>
        <color rgb="FF7E7E80"/>
        <rFont val="Arial"/>
        <family val="2"/>
      </rPr>
      <t>Industries caused the release of 5,700 tons of anhydrous ammonia that continued for 6 days after the explosions. Nearby groundwater was contaminated.</t>
    </r>
    <r>
      <rPr>
        <vertAlign val="superscript"/>
        <sz val="5"/>
        <color rgb="FF9A9A9C"/>
        <rFont val="Arial"/>
        <family val="2"/>
      </rPr>
      <t>79</t>
    </r>
    <r>
      <rPr>
        <sz val="5"/>
        <color rgb="FF9A9A9C"/>
        <rFont val="Arial"/>
        <family val="2"/>
      </rPr>
      <t>,</t>
    </r>
    <r>
      <rPr>
        <vertAlign val="superscript"/>
        <sz val="5"/>
        <color rgb="FF9A9A9C"/>
        <rFont val="Arial"/>
        <family val="2"/>
      </rPr>
      <t>80</t>
    </r>
  </si>
  <si>
    <r>
      <rPr>
        <sz val="8"/>
        <color rgb="FF7E7E80"/>
        <rFont val="Arial"/>
        <family val="2"/>
      </rPr>
      <t xml:space="preserve">1998
</t>
    </r>
    <r>
      <rPr>
        <sz val="8"/>
        <color rgb="FF7E7E80"/>
        <rFont val="Arial"/>
        <family val="2"/>
      </rPr>
      <t>6-Jan</t>
    </r>
  </si>
  <si>
    <r>
      <rPr>
        <sz val="8"/>
        <color rgb="FF7E7E80"/>
        <rFont val="Arial"/>
        <family val="2"/>
      </rPr>
      <t>China</t>
    </r>
  </si>
  <si>
    <r>
      <rPr>
        <sz val="8"/>
        <color rgb="FF7E7E80"/>
        <rFont val="Arial"/>
        <family val="2"/>
      </rPr>
      <t>Xingping, Shanxi</t>
    </r>
  </si>
  <si>
    <r>
      <rPr>
        <sz val="8"/>
        <color rgb="FF7E7E80"/>
        <rFont val="Arial"/>
        <family val="2"/>
      </rPr>
      <t>An accident caused the explosion of 27.6 tons of AN liquor contained at the Xinghua Fertilizer Company</t>
    </r>
    <r>
      <rPr>
        <sz val="8"/>
        <color rgb="FF97979A"/>
        <rFont val="Arial"/>
        <family val="2"/>
      </rPr>
      <t>.</t>
    </r>
    <r>
      <rPr>
        <vertAlign val="superscript"/>
        <sz val="8"/>
        <color rgb="FF97979A"/>
        <rFont val="Arial"/>
        <family val="2"/>
      </rPr>
      <t>81</t>
    </r>
    <r>
      <rPr>
        <sz val="8"/>
        <color rgb="FF97979A"/>
        <rFont val="Arial"/>
        <family val="2"/>
      </rPr>
      <t>•</t>
    </r>
    <r>
      <rPr>
        <vertAlign val="superscript"/>
        <sz val="8"/>
        <color rgb="FF97979A"/>
        <rFont val="Arial"/>
        <family val="2"/>
      </rPr>
      <t>82</t>
    </r>
  </si>
  <si>
    <r>
      <rPr>
        <sz val="8"/>
        <color rgb="FF7E7E80"/>
        <rFont val="Arial"/>
        <family val="2"/>
      </rPr>
      <t xml:space="preserve">2001
</t>
    </r>
    <r>
      <rPr>
        <sz val="8"/>
        <color rgb="FF7E7E80"/>
        <rFont val="Arial"/>
        <family val="2"/>
      </rPr>
      <t>21-Sep</t>
    </r>
  </si>
  <si>
    <r>
      <rPr>
        <sz val="8"/>
        <color rgb="FF7E7E80"/>
        <rFont val="Arial"/>
        <family val="2"/>
      </rPr>
      <t>Toulouse</t>
    </r>
  </si>
  <si>
    <r>
      <rPr>
        <sz val="8"/>
        <color rgb="FF7E7E80"/>
        <rFont val="Arial"/>
        <family val="2"/>
      </rPr>
      <t>200-300</t>
    </r>
  </si>
  <si>
    <r>
      <rPr>
        <sz val="8"/>
        <color rgb="FF7E7E80"/>
        <rFont val="Arial"/>
        <family val="2"/>
      </rPr>
      <t xml:space="preserve">A warehouse at the AZF (Azote de France) fertilizer factory (Toulouse, France) exploded. The warehouse contained off-specification granular AN which was stored flat and separated by partitions. The cause of the
</t>
    </r>
    <r>
      <rPr>
        <sz val="8"/>
        <color rgb="FF7E7E80"/>
        <rFont val="Arial"/>
        <family val="2"/>
      </rPr>
      <t>explosion was not  determined.</t>
    </r>
    <r>
      <rPr>
        <vertAlign val="superscript"/>
        <sz val="8"/>
        <color rgb="FF97979A"/>
        <rFont val="Arial"/>
        <family val="2"/>
      </rPr>
      <t>83</t>
    </r>
  </si>
  <si>
    <r>
      <rPr>
        <sz val="8"/>
        <color rgb="FF7E7E80"/>
        <rFont val="Arial"/>
        <family val="2"/>
      </rPr>
      <t xml:space="preserve">2003
</t>
    </r>
    <r>
      <rPr>
        <sz val="8"/>
        <color rgb="FF7E7E80"/>
        <rFont val="Arial"/>
        <family val="2"/>
      </rPr>
      <t>1-Jan</t>
    </r>
  </si>
  <si>
    <r>
      <rPr>
        <sz val="8"/>
        <color rgb="FF7E7E80"/>
        <rFont val="Arial"/>
        <family val="2"/>
      </rPr>
      <t>Spain</t>
    </r>
  </si>
  <si>
    <r>
      <rPr>
        <sz val="8"/>
        <color rgb="FF7E7E80"/>
        <rFont val="Arial"/>
        <family val="2"/>
      </rPr>
      <t>Cartagena, Murcia</t>
    </r>
  </si>
  <si>
    <r>
      <rPr>
        <sz val="8"/>
        <color rgb="FF7E7E80"/>
        <rFont val="Arial"/>
        <family val="2"/>
      </rPr>
      <t xml:space="preserve">AN fertilizer in the storage facility of Fertiberia (Cartagena, Spain) underwent self-sustained decomposition and caught
</t>
    </r>
    <r>
      <rPr>
        <sz val="8"/>
        <color rgb="FF7E7E80"/>
        <rFont val="Arial"/>
        <family val="2"/>
      </rPr>
      <t>fire. Mechanical removal of unburned AN controlled the fire</t>
    </r>
    <r>
      <rPr>
        <sz val="8"/>
        <color rgb="FF97979A"/>
        <rFont val="Arial"/>
        <family val="2"/>
      </rPr>
      <t>.</t>
    </r>
    <r>
      <rPr>
        <vertAlign val="superscript"/>
        <sz val="8"/>
        <color rgb="FF97979A"/>
        <rFont val="Arial"/>
        <family val="2"/>
      </rPr>
      <t>74</t>
    </r>
  </si>
  <si>
    <r>
      <rPr>
        <sz val="8"/>
        <color rgb="FF7E7E80"/>
        <rFont val="Arial"/>
        <family val="2"/>
      </rPr>
      <t xml:space="preserve">2003
</t>
    </r>
    <r>
      <rPr>
        <sz val="8"/>
        <color rgb="FF7E7E80"/>
        <rFont val="Arial"/>
        <family val="2"/>
      </rPr>
      <t>2-Oct</t>
    </r>
  </si>
  <si>
    <r>
      <rPr>
        <sz val="8"/>
        <color rgb="FF7E7E80"/>
        <rFont val="Arial"/>
        <family val="2"/>
      </rPr>
      <t>Saint-Romain- en-Jarez</t>
    </r>
  </si>
  <si>
    <r>
      <rPr>
        <sz val="8"/>
        <color rgb="FF7E7E80"/>
        <rFont val="Arial"/>
        <family val="2"/>
      </rPr>
      <t>3-5</t>
    </r>
  </si>
  <si>
    <r>
      <rPr>
        <sz val="8"/>
        <color rgb="FF7E7E80"/>
        <rFont val="Arial"/>
        <family val="2"/>
      </rPr>
      <t xml:space="preserve">A barn in Saint-Romain-en-Jarez (Loire)
</t>
    </r>
    <r>
      <rPr>
        <sz val="8"/>
        <color rgb="FF7E7E80"/>
        <rFont val="Arial"/>
        <family val="2"/>
      </rPr>
      <t>containing 3-5 tonnes of bagged AN caught fire.</t>
    </r>
    <r>
      <rPr>
        <vertAlign val="superscript"/>
        <sz val="8"/>
        <color rgb="FF97979A"/>
        <rFont val="Arial"/>
        <family val="2"/>
      </rPr>
      <t>84</t>
    </r>
  </si>
  <si>
    <r>
      <rPr>
        <sz val="8"/>
        <color rgb="FF7E7E80"/>
        <rFont val="Arial"/>
        <family val="2"/>
      </rPr>
      <t xml:space="preserve">2009
</t>
    </r>
    <r>
      <rPr>
        <sz val="8"/>
        <color rgb="FF7E7E80"/>
        <rFont val="Arial"/>
        <family val="2"/>
      </rPr>
      <t>30-Jul</t>
    </r>
  </si>
  <si>
    <r>
      <rPr>
        <sz val="8"/>
        <color rgb="FF7E7E80"/>
        <rFont val="Arial"/>
        <family val="2"/>
      </rPr>
      <t>Bryan, Texas</t>
    </r>
  </si>
  <si>
    <r>
      <rPr>
        <b/>
        <sz val="7.5"/>
        <color rgb="FF7E7E80"/>
        <rFont val="Arial"/>
        <family val="2"/>
      </rPr>
      <t>N.A.</t>
    </r>
  </si>
  <si>
    <r>
      <rPr>
        <sz val="8"/>
        <color rgb="FF7E7E80"/>
        <rFont val="Arial"/>
        <family val="2"/>
      </rPr>
      <t xml:space="preserve">The El Dorado Chemical Company in Bryan,
</t>
    </r>
    <r>
      <rPr>
        <sz val="8"/>
        <color rgb="FF7E7E80"/>
        <rFont val="Arial"/>
        <family val="2"/>
      </rPr>
      <t>Texas, a company processing AN into fertilizer, caught fire</t>
    </r>
    <r>
      <rPr>
        <sz val="8"/>
        <color rgb="FF97979A"/>
        <rFont val="Arial"/>
        <family val="2"/>
      </rPr>
      <t>.</t>
    </r>
    <r>
      <rPr>
        <vertAlign val="superscript"/>
        <sz val="8"/>
        <color rgb="FF97979A"/>
        <rFont val="Arial"/>
        <family val="2"/>
      </rPr>
      <t>8</t>
    </r>
    <r>
      <rPr>
        <sz val="8"/>
        <color rgb="FF97979A"/>
        <rFont val="Arial"/>
        <family val="2"/>
      </rPr>
      <t>s</t>
    </r>
  </si>
  <si>
    <r>
      <rPr>
        <sz val="8"/>
        <color rgb="FF7E7E80"/>
        <rFont val="Arial"/>
        <family val="2"/>
      </rPr>
      <t xml:space="preserve">2013
</t>
    </r>
    <r>
      <rPr>
        <sz val="8"/>
        <color rgb="FF7E7E80"/>
        <rFont val="Arial"/>
        <family val="2"/>
      </rPr>
      <t>17-Apr</t>
    </r>
  </si>
  <si>
    <r>
      <rPr>
        <sz val="8"/>
        <color rgb="FF7E7E80"/>
        <rFont val="Arial"/>
        <family val="2"/>
      </rPr>
      <t>West, Texas</t>
    </r>
  </si>
  <si>
    <r>
      <rPr>
        <sz val="8"/>
        <color rgb="FF7E7E80"/>
        <rFont val="Arial"/>
        <family val="2"/>
      </rPr>
      <t>A fire (determined to be arson) at a fertilizer company in West, Texas, caused AN stored there to explode. The explosion destroyed roughly 80 homes and a middle school.</t>
    </r>
    <r>
      <rPr>
        <sz val="8"/>
        <color rgb="FF97979A"/>
        <rFont val="Arial"/>
        <family val="2"/>
      </rPr>
      <t>"6,87</t>
    </r>
  </si>
  <si>
    <r>
      <rPr>
        <sz val="8"/>
        <color rgb="FF7E7E80"/>
        <rFont val="Arial"/>
        <family val="2"/>
      </rPr>
      <t xml:space="preserve">2015
</t>
    </r>
    <r>
      <rPr>
        <sz val="8"/>
        <color rgb="FF7E7E80"/>
        <rFont val="Arial"/>
        <family val="2"/>
      </rPr>
      <t>12-Aug</t>
    </r>
  </si>
  <si>
    <r>
      <rPr>
        <sz val="8"/>
        <color rgb="FF7E7E80"/>
        <rFont val="Arial"/>
        <family val="2"/>
      </rPr>
      <t>Port ofTianjin</t>
    </r>
  </si>
  <si>
    <r>
      <rPr>
        <sz val="8"/>
        <color rgb="FF7E7E80"/>
        <rFont val="Arial"/>
        <family val="2"/>
      </rPr>
      <t xml:space="preserve">Nitrocellulose stored at a Port ofTianjin hazardous goods warehouse spontaneously combusted, igniting a fire
</t>
    </r>
    <r>
      <rPr>
        <sz val="8"/>
        <color rgb="FF7E7E80"/>
        <rFont val="Arial"/>
        <family val="2"/>
      </rPr>
      <t>which triggered the detonation of AN stored nearby</t>
    </r>
    <r>
      <rPr>
        <sz val="8"/>
        <color rgb="FF97979A"/>
        <rFont val="Arial"/>
        <family val="2"/>
      </rPr>
      <t>.</t>
    </r>
    <r>
      <rPr>
        <vertAlign val="superscript"/>
        <sz val="8"/>
        <color rgb="FF97979A"/>
        <rFont val="Arial"/>
        <family val="2"/>
      </rPr>
      <t>88</t>
    </r>
    <r>
      <rPr>
        <sz val="8"/>
        <color rgb="FF97979A"/>
        <rFont val="Arial"/>
        <family val="2"/>
      </rPr>
      <t>•</t>
    </r>
    <r>
      <rPr>
        <vertAlign val="superscript"/>
        <sz val="8"/>
        <color rgb="FF97979A"/>
        <rFont val="Arial"/>
        <family val="2"/>
      </rPr>
      <t>89</t>
    </r>
  </si>
  <si>
    <r>
      <rPr>
        <sz val="8"/>
        <color rgb="FF7E7E80"/>
        <rFont val="Arial"/>
        <family val="2"/>
      </rPr>
      <t xml:space="preserve">2020
</t>
    </r>
    <r>
      <rPr>
        <sz val="8"/>
        <color rgb="FF7E7E80"/>
        <rFont val="Arial"/>
        <family val="2"/>
      </rPr>
      <t>4-Aug</t>
    </r>
  </si>
  <si>
    <r>
      <rPr>
        <sz val="8"/>
        <color rgb="FF7E7E80"/>
        <rFont val="Arial"/>
        <family val="2"/>
      </rPr>
      <t>Lebanon</t>
    </r>
  </si>
  <si>
    <r>
      <rPr>
        <sz val="8"/>
        <color rgb="FF7E7E80"/>
        <rFont val="Arial"/>
        <family val="2"/>
      </rPr>
      <t>Beirut</t>
    </r>
  </si>
  <si>
    <r>
      <rPr>
        <sz val="8"/>
        <color rgb="FF7E7E80"/>
        <rFont val="Arial"/>
        <family val="2"/>
      </rPr>
      <t xml:space="preserve">Fire broke out in a Port of Beirut (Lebanon) warehouse containing 2,750 tonnes of AN seized from an abandoned ship impounded
</t>
    </r>
    <r>
      <rPr>
        <sz val="8"/>
        <color rgb="FF7E7E80"/>
        <rFont val="Arial"/>
        <family val="2"/>
      </rPr>
      <t>in 2014. At least 6,000 people were injured and nearly 300 people died.</t>
    </r>
    <r>
      <rPr>
        <vertAlign val="superscript"/>
        <sz val="8"/>
        <color rgb="FF97979A"/>
        <rFont val="Arial"/>
        <family val="2"/>
      </rPr>
      <t>90</t>
    </r>
    <r>
      <rPr>
        <sz val="8"/>
        <color rgb="FF97979A"/>
        <rFont val="Arial"/>
        <family val="2"/>
      </rPr>
      <t>-</t>
    </r>
    <r>
      <rPr>
        <vertAlign val="superscript"/>
        <sz val="8"/>
        <color rgb="FF97979A"/>
        <rFont val="Arial"/>
        <family val="2"/>
      </rPr>
      <t>91</t>
    </r>
  </si>
  <si>
    <r>
      <rPr>
        <sz val="8"/>
        <color rgb="FF7E7E80"/>
        <rFont val="Arial"/>
        <family val="2"/>
      </rPr>
      <t xml:space="preserve">1920
</t>
    </r>
    <r>
      <rPr>
        <sz val="8"/>
        <color rgb="FF7E7E80"/>
        <rFont val="Arial"/>
        <family val="2"/>
      </rPr>
      <t>14-April</t>
    </r>
  </si>
  <si>
    <r>
      <rPr>
        <sz val="8"/>
        <color rgb="FF7E7E80"/>
        <rFont val="Arial"/>
        <family val="2"/>
      </rPr>
      <t>Brooklyn, New York</t>
    </r>
  </si>
  <si>
    <r>
      <rPr>
        <sz val="8"/>
        <color rgb="FF7E7E80"/>
        <rFont val="Arial"/>
        <family val="2"/>
      </rPr>
      <t>1,919 / 882</t>
    </r>
  </si>
  <si>
    <r>
      <rPr>
        <sz val="8"/>
        <color rgb="FF7E7E80"/>
        <rFont val="Arial"/>
        <family val="2"/>
      </rPr>
      <t>Transportation (cargo ship)</t>
    </r>
  </si>
  <si>
    <r>
      <rPr>
        <sz val="8"/>
        <color rgb="FF7E7E80"/>
        <rFont val="Arial"/>
        <family val="2"/>
      </rPr>
      <t>Fire broke out on the steamer Hallfried while discharging cargo, which included 1,919 tonnes of AN in casks</t>
    </r>
    <r>
      <rPr>
        <sz val="8"/>
        <color rgb="FF97979A"/>
        <rFont val="Arial"/>
        <family val="2"/>
      </rPr>
      <t xml:space="preserve">. </t>
    </r>
    <r>
      <rPr>
        <sz val="8"/>
        <color rgb="FF7E7E80"/>
        <rFont val="Arial"/>
        <family val="2"/>
      </rPr>
      <t xml:space="preserve">Although the
</t>
    </r>
    <r>
      <rPr>
        <sz val="8"/>
        <color rgb="FF7E7E80"/>
        <rFont val="Arial"/>
        <family val="2"/>
      </rPr>
      <t>fire was intense and 882 tonnes of the AN were destroyed, no explosion occurred</t>
    </r>
    <r>
      <rPr>
        <sz val="8"/>
        <color rgb="FF97979A"/>
        <rFont val="Arial"/>
        <family val="2"/>
      </rPr>
      <t>.</t>
    </r>
    <r>
      <rPr>
        <vertAlign val="superscript"/>
        <sz val="8"/>
        <color rgb="FF97979A"/>
        <rFont val="Arial"/>
        <family val="2"/>
      </rPr>
      <t>7</t>
    </r>
    <r>
      <rPr>
        <sz val="8"/>
        <color rgb="FF97979A"/>
        <rFont val="Arial"/>
        <family val="2"/>
      </rPr>
      <t>s</t>
    </r>
  </si>
  <si>
    <r>
      <rPr>
        <sz val="8"/>
        <color rgb="FF7E7E80"/>
        <rFont val="Arial"/>
        <family val="2"/>
      </rPr>
      <t xml:space="preserve">1925
</t>
    </r>
    <r>
      <rPr>
        <sz val="8"/>
        <color rgb="FF7E7E80"/>
        <rFont val="Arial"/>
        <family val="2"/>
      </rPr>
      <t>3-May</t>
    </r>
  </si>
  <si>
    <r>
      <rPr>
        <sz val="8"/>
        <color rgb="FF7E7E80"/>
        <rFont val="Arial"/>
        <family val="2"/>
      </rPr>
      <t>Muscle Shoals, Alabama</t>
    </r>
  </si>
  <si>
    <r>
      <rPr>
        <sz val="8"/>
        <color rgb="FF7E7E80"/>
        <rFont val="Arial"/>
        <family val="2"/>
      </rPr>
      <t>Transportation</t>
    </r>
  </si>
  <si>
    <r>
      <rPr>
        <sz val="8"/>
        <color rgb="FF7E7E80"/>
        <rFont val="Arial"/>
        <family val="2"/>
      </rPr>
      <t xml:space="preserve">440 barrels of AN caught fire and exploded during shipping from a warehouse in Muscle Shoals, Alabama. The barrels had been stored in a warehouse with varying humidity for 6 years, and were likely
</t>
    </r>
    <r>
      <rPr>
        <sz val="8"/>
        <color rgb="FF7E7E80"/>
        <rFont val="Arial"/>
        <family val="2"/>
      </rPr>
      <t>ignited by friction of the barrels with their nitrate-impregnated paper linings.</t>
    </r>
    <r>
      <rPr>
        <vertAlign val="superscript"/>
        <sz val="8"/>
        <color rgb="FF9C9C9E"/>
        <rFont val="Arial"/>
        <family val="2"/>
      </rPr>
      <t>92</t>
    </r>
  </si>
  <si>
    <r>
      <rPr>
        <sz val="8"/>
        <color rgb="FF7E7E80"/>
        <rFont val="Arial"/>
        <family val="2"/>
      </rPr>
      <t xml:space="preserve">1947
</t>
    </r>
    <r>
      <rPr>
        <sz val="8"/>
        <color rgb="FF7E7E80"/>
        <rFont val="Arial"/>
        <family val="2"/>
      </rPr>
      <t>16-Apr</t>
    </r>
  </si>
  <si>
    <r>
      <rPr>
        <sz val="8"/>
        <color rgb="FF7E7E80"/>
        <rFont val="Arial"/>
        <family val="2"/>
      </rPr>
      <t>Texas City</t>
    </r>
  </si>
  <si>
    <r>
      <rPr>
        <sz val="8"/>
        <color rgb="FF7E7E80"/>
        <rFont val="Arial"/>
        <family val="2"/>
      </rPr>
      <t>2,100+ 870</t>
    </r>
  </si>
  <si>
    <r>
      <rPr>
        <sz val="8"/>
        <color rgb="FF7E7E80"/>
        <rFont val="Arial"/>
        <family val="2"/>
      </rPr>
      <t xml:space="preserve">The cargo ship Grandcamp was being loaded when a fire was detected in the hold: 2,300 tons of AN in sacks were already aboard. The ship exploded, setting fire to another vessel, 250 m away, which
</t>
    </r>
    <r>
      <rPr>
        <sz val="8"/>
        <color rgb="FF7E7E80"/>
        <rFont val="Arial"/>
        <family val="2"/>
      </rPr>
      <t>contained 1,050 tons of sulfur and 960 tons of AN.</t>
    </r>
    <r>
      <rPr>
        <sz val="8"/>
        <color rgb="FF9C9C9E"/>
        <rFont val="Arial"/>
        <family val="2"/>
      </rPr>
      <t>93</t>
    </r>
    <r>
      <rPr>
        <sz val="8"/>
        <color rgb="FF7E7E80"/>
        <rFont val="Arial"/>
        <family val="2"/>
      </rPr>
      <t>,</t>
    </r>
    <r>
      <rPr>
        <sz val="8"/>
        <color rgb="FF9C9C9E"/>
        <rFont val="Arial"/>
        <family val="2"/>
      </rPr>
      <t>94</t>
    </r>
  </si>
  <si>
    <r>
      <rPr>
        <sz val="8"/>
        <color rgb="FF7E7E80"/>
        <rFont val="Arial"/>
        <family val="2"/>
      </rPr>
      <t xml:space="preserve">1947
</t>
    </r>
    <r>
      <rPr>
        <sz val="8"/>
        <color rgb="FF7E7E80"/>
        <rFont val="Arial"/>
        <family val="2"/>
      </rPr>
      <t>28-Jul</t>
    </r>
  </si>
  <si>
    <r>
      <rPr>
        <sz val="8"/>
        <color rgb="FF7E7E80"/>
        <rFont val="Arial"/>
        <family val="2"/>
      </rPr>
      <t>Brest</t>
    </r>
  </si>
  <si>
    <r>
      <rPr>
        <sz val="8"/>
        <color rgb="FF7E7E80"/>
        <rFont val="Arial"/>
        <family val="2"/>
      </rPr>
      <t>1,700-3,309</t>
    </r>
  </si>
  <si>
    <r>
      <rPr>
        <sz val="8"/>
        <color rgb="FF7E7E80"/>
        <rFont val="Arial"/>
        <family val="2"/>
      </rPr>
      <t>The Norwegian cargo ship Ocean Liberty was loaded with 3,309 tonnes of AN and various flammable products when it caught fire</t>
    </r>
    <r>
      <rPr>
        <sz val="8"/>
        <color rgb="FF9C9C9E"/>
        <rFont val="Arial"/>
        <family val="2"/>
      </rPr>
      <t xml:space="preserve">. </t>
    </r>
    <r>
      <rPr>
        <sz val="8"/>
        <color rgb="FF7E7E80"/>
        <rFont val="Arial"/>
        <family val="2"/>
      </rPr>
      <t xml:space="preserve">Pumping pressured steam into the sealed hold did not stop the fire; the ship exploded while being towed from the
</t>
    </r>
    <r>
      <rPr>
        <sz val="8"/>
        <color rgb="FF7E7E80"/>
        <rFont val="Arial"/>
        <family val="2"/>
      </rPr>
      <t>harbor.</t>
    </r>
    <r>
      <rPr>
        <vertAlign val="superscript"/>
        <sz val="8"/>
        <color rgb="FF9C9C9E"/>
        <rFont val="Arial"/>
        <family val="2"/>
      </rPr>
      <t>95</t>
    </r>
    <r>
      <rPr>
        <sz val="8"/>
        <color rgb="FF9C9C9E"/>
        <rFont val="Arial"/>
        <family val="2"/>
      </rPr>
      <t>•</t>
    </r>
    <r>
      <rPr>
        <vertAlign val="superscript"/>
        <sz val="8"/>
        <color rgb="FF9C9C9E"/>
        <rFont val="Arial"/>
        <family val="2"/>
      </rPr>
      <t>96</t>
    </r>
  </si>
  <si>
    <r>
      <rPr>
        <sz val="8"/>
        <color rgb="FF7E7E80"/>
        <rFont val="Arial"/>
        <family val="2"/>
      </rPr>
      <t xml:space="preserve">1953
</t>
    </r>
    <r>
      <rPr>
        <sz val="8"/>
        <color rgb="FF7E7E80"/>
        <rFont val="Arial"/>
        <family val="2"/>
      </rPr>
      <t>23-Jan</t>
    </r>
  </si>
  <si>
    <r>
      <rPr>
        <sz val="8"/>
        <color rgb="FF7E7E80"/>
        <rFont val="Arial"/>
        <family val="2"/>
      </rPr>
      <t>Red Sea</t>
    </r>
  </si>
  <si>
    <r>
      <rPr>
        <sz val="8"/>
        <color rgb="FF7E7E80"/>
        <rFont val="Arial"/>
        <family val="2"/>
      </rPr>
      <t>The Finnish cargo ship Tirrenia caught fire while carrying AN</t>
    </r>
    <r>
      <rPr>
        <sz val="8"/>
        <color rgb="FFACAEB1"/>
        <rFont val="Arial"/>
        <family val="2"/>
      </rPr>
      <t xml:space="preserve">. </t>
    </r>
    <r>
      <rPr>
        <sz val="8"/>
        <color rgb="FF7E7E80"/>
        <rFont val="Arial"/>
        <family val="2"/>
      </rPr>
      <t xml:space="preserve">The fire could not be
</t>
    </r>
    <r>
      <rPr>
        <sz val="8"/>
        <color rgb="FF7E7E80"/>
        <rFont val="Arial"/>
        <family val="2"/>
      </rPr>
      <t>extinguished with steam, and the ship was abandoned before it exploded.</t>
    </r>
    <r>
      <rPr>
        <vertAlign val="superscript"/>
        <sz val="8"/>
        <color rgb="FF7E7E80"/>
        <rFont val="Arial"/>
        <family val="2"/>
      </rPr>
      <t>9</t>
    </r>
    <r>
      <rPr>
        <vertAlign val="superscript"/>
        <sz val="8"/>
        <color rgb="FF9C9C9E"/>
        <rFont val="Arial"/>
        <family val="2"/>
      </rPr>
      <t>7</t>
    </r>
  </si>
  <si>
    <r>
      <rPr>
        <sz val="8"/>
        <color rgb="FF7E7E80"/>
        <rFont val="Arial"/>
        <family val="2"/>
      </rPr>
      <t xml:space="preserve">1959
</t>
    </r>
    <r>
      <rPr>
        <sz val="8"/>
        <color rgb="FF7E7E80"/>
        <rFont val="Arial"/>
        <family val="2"/>
      </rPr>
      <t>7-Aug</t>
    </r>
  </si>
  <si>
    <r>
      <rPr>
        <sz val="8"/>
        <color rgb="FF7E7E80"/>
        <rFont val="Arial"/>
        <family val="2"/>
      </rPr>
      <t>Roseburg, Oregon</t>
    </r>
  </si>
  <si>
    <r>
      <rPr>
        <sz val="8"/>
        <color rgb="FF7E7E80"/>
        <rFont val="Arial"/>
        <family val="2"/>
      </rPr>
      <t>4.1</t>
    </r>
  </si>
  <si>
    <r>
      <rPr>
        <sz val="8"/>
        <color rgb="FF7E7E80"/>
        <rFont val="Arial"/>
        <family val="2"/>
      </rPr>
      <t>Transportation (truck)</t>
    </r>
  </si>
  <si>
    <r>
      <rPr>
        <sz val="8"/>
        <color rgb="FF7E7E80"/>
        <rFont val="Arial"/>
        <family val="2"/>
      </rPr>
      <t xml:space="preserve">A truck carrying dynamite and 4.5 tons of AN caught fire and exploded. A number
</t>
    </r>
    <r>
      <rPr>
        <sz val="8"/>
        <color rgb="FF7E7E80"/>
        <rFont val="Arial"/>
        <family val="2"/>
      </rPr>
      <t xml:space="preserve">of blocks of downtown Roseburg, Oregon, were destroyed by the explosion. </t>
    </r>
    <r>
      <rPr>
        <vertAlign val="superscript"/>
        <sz val="8"/>
        <color rgb="FF9C9C9E"/>
        <rFont val="Arial"/>
        <family val="2"/>
      </rPr>
      <t>98</t>
    </r>
    <r>
      <rPr>
        <sz val="8"/>
        <color rgb="FF9C9C9E"/>
        <rFont val="Arial"/>
        <family val="2"/>
      </rPr>
      <t>,</t>
    </r>
    <r>
      <rPr>
        <vertAlign val="superscript"/>
        <sz val="8"/>
        <color rgb="FF9C9C9E"/>
        <rFont val="Arial"/>
        <family val="2"/>
      </rPr>
      <t>99</t>
    </r>
  </si>
  <si>
    <r>
      <rPr>
        <sz val="8"/>
        <color rgb="FF7E7E80"/>
        <rFont val="Arial"/>
        <family val="2"/>
      </rPr>
      <t xml:space="preserve">1960
</t>
    </r>
    <r>
      <rPr>
        <sz val="8"/>
        <color rgb="FF7E7E80"/>
        <rFont val="Arial"/>
        <family val="2"/>
      </rPr>
      <t>17-Dec</t>
    </r>
  </si>
  <si>
    <r>
      <rPr>
        <sz val="8"/>
        <color rgb="FF7E7E80"/>
        <rFont val="Arial"/>
        <family val="2"/>
      </rPr>
      <t>Traskwood, Arkansas</t>
    </r>
  </si>
  <si>
    <r>
      <rPr>
        <sz val="8"/>
        <color rgb="FF7E7E80"/>
        <rFont val="Arial"/>
        <family val="2"/>
      </rPr>
      <t>140-180</t>
    </r>
  </si>
  <si>
    <r>
      <rPr>
        <sz val="8"/>
        <color rgb="FF7E7E80"/>
        <rFont val="Arial"/>
        <family val="2"/>
      </rPr>
      <t>Transportation (train)</t>
    </r>
  </si>
  <si>
    <r>
      <rPr>
        <sz val="8"/>
        <color rgb="FF7E7E80"/>
        <rFont val="Arial"/>
        <family val="2"/>
      </rPr>
      <t xml:space="preserve">A train carrying AN, fuel oil, and nitric acid derailed. The AN did not explode, but reac- tion of the nitric acid with fuel oil caused an explosion which scattered the AN at the
</t>
    </r>
    <r>
      <rPr>
        <sz val="8"/>
        <color rgb="FF7E7E80"/>
        <rFont val="Arial"/>
        <family val="2"/>
      </rPr>
      <t>crash site.</t>
    </r>
    <r>
      <rPr>
        <vertAlign val="superscript"/>
        <sz val="8"/>
        <color rgb="FF9C9C9E"/>
        <rFont val="Arial"/>
        <family val="2"/>
      </rPr>
      <t>100</t>
    </r>
  </si>
  <si>
    <r>
      <rPr>
        <sz val="8"/>
        <color rgb="FF7E7E80"/>
        <rFont val="Arial"/>
        <family val="2"/>
      </rPr>
      <t xml:space="preserve">1972
</t>
    </r>
    <r>
      <rPr>
        <sz val="8"/>
        <color rgb="FF7E7E80"/>
        <rFont val="Arial"/>
        <family val="2"/>
      </rPr>
      <t>30-Aug</t>
    </r>
  </si>
  <si>
    <r>
      <rPr>
        <sz val="8"/>
        <color rgb="FF7E7E80"/>
        <rFont val="Arial"/>
        <family val="2"/>
      </rPr>
      <t>Australia</t>
    </r>
  </si>
  <si>
    <r>
      <rPr>
        <sz val="8"/>
        <color rgb="FF7E7E80"/>
        <rFont val="Arial"/>
        <family val="2"/>
      </rPr>
      <t>Taroom, Queensland</t>
    </r>
  </si>
  <si>
    <r>
      <rPr>
        <sz val="8"/>
        <color rgb="FF7E7E80"/>
        <rFont val="Arial"/>
        <family val="2"/>
      </rPr>
      <t xml:space="preserve">An electrical fault in a truck carrying 11 tonnes of AN caused a fire and explosion
</t>
    </r>
    <r>
      <rPr>
        <sz val="8"/>
        <color rgb="FF7E7E80"/>
        <rFont val="Arial"/>
        <family val="2"/>
      </rPr>
      <t>north of the Queensland town of Ta- room.</t>
    </r>
    <r>
      <rPr>
        <vertAlign val="superscript"/>
        <sz val="8"/>
        <color rgb="FF9C9C9E"/>
        <rFont val="Arial"/>
        <family val="2"/>
      </rPr>
      <t>101</t>
    </r>
  </si>
  <si>
    <r>
      <rPr>
        <sz val="8"/>
        <color rgb="FF7E7E80"/>
        <rFont val="Arial"/>
        <family val="2"/>
      </rPr>
      <t xml:space="preserve">2004
</t>
    </r>
    <r>
      <rPr>
        <sz val="8"/>
        <color rgb="FF7E7E80"/>
        <rFont val="Arial"/>
        <family val="2"/>
      </rPr>
      <t>18-Feb</t>
    </r>
  </si>
  <si>
    <r>
      <rPr>
        <sz val="8"/>
        <color rgb="FF7E7E80"/>
        <rFont val="Arial"/>
        <family val="2"/>
      </rPr>
      <t>Iran</t>
    </r>
  </si>
  <si>
    <r>
      <rPr>
        <sz val="8"/>
        <color rgb="FF7E7E80"/>
        <rFont val="Arial"/>
        <family val="2"/>
      </rPr>
      <t>Neyshabur</t>
    </r>
  </si>
  <si>
    <r>
      <rPr>
        <sz val="8"/>
        <color rgb="FF7E7E80"/>
        <rFont val="Arial"/>
        <family val="2"/>
      </rPr>
      <t>A train carrying sulfur, AN, cotton, and oil derailed and exploded, killing 300 people</t>
    </r>
    <r>
      <rPr>
        <sz val="8"/>
        <color rgb="FF9C9C9E"/>
        <rFont val="Arial"/>
        <family val="2"/>
      </rPr>
      <t>,</t>
    </r>
    <r>
      <rPr>
        <sz val="8"/>
        <color rgb="FF7E7E80"/>
        <rFont val="Arial"/>
        <family val="2"/>
      </rPr>
      <t>_</t>
    </r>
    <r>
      <rPr>
        <sz val="8"/>
        <color rgb="FF9C9C9E"/>
        <rFont val="Arial"/>
        <family val="2"/>
      </rPr>
      <t>02</t>
    </r>
    <r>
      <rPr>
        <sz val="8"/>
        <color rgb="FF7E7E80"/>
        <rFont val="Arial"/>
        <family val="2"/>
      </rPr>
      <t>,</t>
    </r>
    <r>
      <rPr>
        <sz val="8"/>
        <color rgb="FF9C9C9E"/>
        <rFont val="Arial"/>
        <family val="2"/>
      </rPr>
      <t>103</t>
    </r>
  </si>
  <si>
    <r>
      <rPr>
        <sz val="8"/>
        <color rgb="FF7E7E80"/>
        <rFont val="Arial"/>
        <family val="2"/>
      </rPr>
      <t xml:space="preserve">2004
</t>
    </r>
    <r>
      <rPr>
        <sz val="8"/>
        <color rgb="FF7E7E80"/>
        <rFont val="Arial"/>
        <family val="2"/>
      </rPr>
      <t>9-Mar</t>
    </r>
  </si>
  <si>
    <r>
      <rPr>
        <sz val="8"/>
        <color rgb="FF7E7E80"/>
        <rFont val="Arial"/>
        <family val="2"/>
      </rPr>
      <t>Barracas</t>
    </r>
  </si>
  <si>
    <r>
      <rPr>
        <sz val="8"/>
        <color rgb="FF7E7E80"/>
        <rFont val="Arial"/>
        <family val="2"/>
      </rPr>
      <t>A truck carrying 25 tonnes of AN fertilizer exploded after a traffic accident.</t>
    </r>
    <r>
      <rPr>
        <vertAlign val="superscript"/>
        <sz val="4.5"/>
        <color rgb="FF99999A"/>
        <rFont val="Arial"/>
        <family val="2"/>
      </rPr>
      <t>104</t>
    </r>
  </si>
  <si>
    <r>
      <rPr>
        <sz val="8"/>
        <color rgb="FF7E7E80"/>
        <rFont val="Arial"/>
        <family val="2"/>
      </rPr>
      <t xml:space="preserve">2004
</t>
    </r>
    <r>
      <rPr>
        <sz val="8"/>
        <color rgb="FF7E7E80"/>
        <rFont val="Arial"/>
        <family val="2"/>
      </rPr>
      <t>24-May</t>
    </r>
  </si>
  <si>
    <r>
      <rPr>
        <sz val="8"/>
        <color rgb="FF7E7E80"/>
        <rFont val="Arial"/>
        <family val="2"/>
      </rPr>
      <t>Romania</t>
    </r>
  </si>
  <si>
    <r>
      <rPr>
        <sz val="8"/>
        <color rgb="FF7E7E80"/>
        <rFont val="Arial"/>
        <family val="2"/>
      </rPr>
      <t>Mihaile ti, Buzau</t>
    </r>
  </si>
  <si>
    <r>
      <rPr>
        <sz val="8"/>
        <color rgb="FF7E7E80"/>
        <rFont val="Arial"/>
        <family val="2"/>
      </rPr>
      <t>A truck carrying 20 tonnes of AN over- turned and caught fire</t>
    </r>
    <r>
      <rPr>
        <sz val="8"/>
        <color rgb="FF99999A"/>
        <rFont val="Arial"/>
        <family val="2"/>
      </rPr>
      <t xml:space="preserve">. </t>
    </r>
    <r>
      <rPr>
        <sz val="8"/>
        <color rgb="FF7E7E80"/>
        <rFont val="Arial"/>
        <family val="2"/>
      </rPr>
      <t>The explosion left a crater 6.5 m deep and 42 min  diameter</t>
    </r>
    <r>
      <rPr>
        <sz val="8"/>
        <color rgb="FF99999A"/>
        <rFont val="Arial"/>
        <family val="2"/>
      </rPr>
      <t>.</t>
    </r>
    <r>
      <rPr>
        <vertAlign val="superscript"/>
        <sz val="8"/>
        <color rgb="FF99999A"/>
        <rFont val="Arial"/>
        <family val="2"/>
      </rPr>
      <t>105</t>
    </r>
  </si>
  <si>
    <r>
      <rPr>
        <sz val="8"/>
        <color rgb="FF7E7E80"/>
        <rFont val="Arial"/>
        <family val="2"/>
      </rPr>
      <t xml:space="preserve">2004
</t>
    </r>
    <r>
      <rPr>
        <sz val="8"/>
        <color rgb="FF7E7E80"/>
        <rFont val="Arial"/>
        <family val="2"/>
      </rPr>
      <t>22-Apr</t>
    </r>
  </si>
  <si>
    <r>
      <rPr>
        <sz val="8"/>
        <color rgb="FF7E7E80"/>
        <rFont val="Arial"/>
        <family val="2"/>
      </rPr>
      <t>North Korea</t>
    </r>
  </si>
  <si>
    <r>
      <rPr>
        <sz val="8"/>
        <color rgb="FF7E7E80"/>
        <rFont val="Arial"/>
        <family val="2"/>
      </rPr>
      <t>Ryongch6n</t>
    </r>
  </si>
  <si>
    <r>
      <rPr>
        <sz val="8"/>
        <color rgb="FF7E7E80"/>
        <rFont val="Arial"/>
        <family val="2"/>
      </rPr>
      <t>A freight train carrying AN exploded,in Ryongchon,  destroying the train station and nearly 8,000 homes in the city; most buildings within 500 m of the explosion site were damaged.</t>
    </r>
    <r>
      <rPr>
        <vertAlign val="superscript"/>
        <sz val="4.5"/>
        <color rgb="FF99999A"/>
        <rFont val="Arial"/>
        <family val="2"/>
      </rPr>
      <t>106</t>
    </r>
  </si>
  <si>
    <r>
      <rPr>
        <sz val="8"/>
        <color rgb="FF7E7E80"/>
        <rFont val="Arial"/>
        <family val="2"/>
      </rPr>
      <t>Estaca de Bares</t>
    </r>
  </si>
  <si>
    <r>
      <rPr>
        <sz val="8"/>
        <color rgb="FF7E7E80"/>
        <rFont val="Arial"/>
        <family val="2"/>
      </rPr>
      <t>2,600 tonnes of NPK fertilizer*** (of 6,000 tonnes) carried on the ship Ostedijk underwent self-sustained decomposition and burned for 11 days. NPK fertilizer contains about 15% AN.</t>
    </r>
    <r>
      <rPr>
        <vertAlign val="superscript"/>
        <sz val="4.5"/>
        <color rgb="FF99999A"/>
        <rFont val="Arial"/>
        <family val="2"/>
      </rPr>
      <t>107</t>
    </r>
  </si>
  <si>
    <r>
      <rPr>
        <sz val="8"/>
        <color rgb="FF7E7E80"/>
        <rFont val="Arial"/>
        <family val="2"/>
      </rPr>
      <t xml:space="preserve">2007
</t>
    </r>
    <r>
      <rPr>
        <sz val="8"/>
        <color rgb="FF7E7E80"/>
        <rFont val="Arial"/>
        <family val="2"/>
      </rPr>
      <t>9-Sep</t>
    </r>
  </si>
  <si>
    <r>
      <rPr>
        <sz val="8"/>
        <color rgb="FF7E7E80"/>
        <rFont val="Arial"/>
        <family val="2"/>
      </rPr>
      <t>Mexico</t>
    </r>
  </si>
  <si>
    <r>
      <rPr>
        <sz val="8"/>
        <color rgb="FF7E7E80"/>
        <rFont val="Arial"/>
        <family val="2"/>
      </rPr>
      <t>Monclova, Coahuila</t>
    </r>
  </si>
  <si>
    <r>
      <rPr>
        <sz val="8"/>
        <color rgb="FF7E7E80"/>
        <rFont val="Arial"/>
        <family val="2"/>
      </rPr>
      <t>22 (ANFO)</t>
    </r>
  </si>
  <si>
    <r>
      <rPr>
        <sz val="8"/>
        <color rgb="FF7E7E80"/>
        <rFont val="Arial"/>
        <family val="2"/>
      </rPr>
      <t>A pickup truck crashed into a trailer containing 22 tonnes of ANFO, causing a fire in the trailer and a large explosion</t>
    </r>
    <r>
      <rPr>
        <sz val="8"/>
        <color rgb="FF99999A"/>
        <rFont val="Arial"/>
        <family val="2"/>
      </rPr>
      <t>.</t>
    </r>
    <r>
      <rPr>
        <vertAlign val="superscript"/>
        <sz val="8"/>
        <color rgb="FF99999A"/>
        <rFont val="Arial"/>
        <family val="2"/>
      </rPr>
      <t>108</t>
    </r>
  </si>
  <si>
    <r>
      <rPr>
        <sz val="8"/>
        <color rgb="FF7E7E80"/>
        <rFont val="Arial"/>
        <family val="2"/>
      </rPr>
      <t xml:space="preserve">2014
</t>
    </r>
    <r>
      <rPr>
        <sz val="8"/>
        <color rgb="FF7E7E80"/>
        <rFont val="Arial"/>
        <family val="2"/>
      </rPr>
      <t>5-Sep</t>
    </r>
  </si>
  <si>
    <r>
      <rPr>
        <sz val="8"/>
        <color rgb="FF7E7E80"/>
        <rFont val="Arial"/>
        <family val="2"/>
      </rPr>
      <t>Wyandra, Queensland</t>
    </r>
  </si>
  <si>
    <r>
      <rPr>
        <sz val="8"/>
        <color rgb="FF7E7E80"/>
        <rFont val="Arial"/>
        <family val="2"/>
      </rPr>
      <t>A truck carrying 56 tonnes of AN exploded due to a traffic accident</t>
    </r>
    <r>
      <rPr>
        <sz val="8"/>
        <color rgb="FF99999A"/>
        <rFont val="Arial"/>
        <family val="2"/>
      </rPr>
      <t xml:space="preserve">. </t>
    </r>
    <r>
      <rPr>
        <sz val="8"/>
        <color rgb="FF7E7E80"/>
        <rFont val="Arial"/>
        <family val="2"/>
      </rPr>
      <t>The explosions sent debris up to 2 km from the crash site.</t>
    </r>
    <r>
      <rPr>
        <vertAlign val="superscript"/>
        <sz val="8"/>
        <color rgb="FF99999A"/>
        <rFont val="Arial"/>
        <family val="2"/>
      </rPr>
      <t>109</t>
    </r>
  </si>
  <si>
    <r>
      <rPr>
        <sz val="8"/>
        <color rgb="FF7E7E80"/>
        <rFont val="Arial"/>
        <family val="2"/>
      </rPr>
      <t xml:space="preserve">1916
</t>
    </r>
    <r>
      <rPr>
        <sz val="8"/>
        <color rgb="FF7E7E80"/>
        <rFont val="Arial"/>
        <family val="2"/>
      </rPr>
      <t>14-Jan</t>
    </r>
  </si>
  <si>
    <r>
      <rPr>
        <sz val="8"/>
        <color rgb="FF7E7E80"/>
        <rFont val="Arial"/>
        <family val="2"/>
      </rPr>
      <t>Gibbstown, New Jersey</t>
    </r>
  </si>
  <si>
    <r>
      <rPr>
        <sz val="8"/>
        <color rgb="FF7E7E80"/>
        <rFont val="Arial"/>
        <family val="2"/>
      </rPr>
      <t>1.81</t>
    </r>
  </si>
  <si>
    <r>
      <rPr>
        <sz val="8"/>
        <color rgb="FF7E7E80"/>
        <rFont val="Arial"/>
        <family val="2"/>
      </rPr>
      <t>Manufacturing</t>
    </r>
  </si>
  <si>
    <r>
      <rPr>
        <sz val="8"/>
        <color rgb="FF7E7E80"/>
        <rFont val="Arial"/>
        <family val="2"/>
      </rPr>
      <t>4,000 pounds of AN exploded in an evaporating pan of the Repauno works of the du Pont Co. The explosion may have been caused by overheating of the AN by a clogged air lance</t>
    </r>
    <r>
      <rPr>
        <sz val="8"/>
        <color rgb="FF99999A"/>
        <rFont val="Arial"/>
        <family val="2"/>
      </rPr>
      <t>.</t>
    </r>
    <r>
      <rPr>
        <vertAlign val="superscript"/>
        <sz val="4.5"/>
        <color rgb="FF99999A"/>
        <rFont val="Arial"/>
        <family val="2"/>
      </rPr>
      <t>110</t>
    </r>
  </si>
  <si>
    <r>
      <rPr>
        <sz val="8"/>
        <color rgb="FF7E7E80"/>
        <rFont val="Arial"/>
        <family val="2"/>
      </rPr>
      <t xml:space="preserve">1916
</t>
    </r>
    <r>
      <rPr>
        <sz val="8"/>
        <color rgb="FF7E7E80"/>
        <rFont val="Arial"/>
        <family val="2"/>
      </rPr>
      <t>15-Sep</t>
    </r>
  </si>
  <si>
    <r>
      <rPr>
        <sz val="8"/>
        <color rgb="FF7E7E80"/>
        <rFont val="Arial"/>
        <family val="2"/>
      </rPr>
      <t>Oakdale, Pennsylvania</t>
    </r>
  </si>
  <si>
    <r>
      <rPr>
        <sz val="8"/>
        <color rgb="FF7E7E80"/>
        <rFont val="Arial"/>
        <family val="2"/>
      </rPr>
      <t>1.36</t>
    </r>
  </si>
  <si>
    <r>
      <rPr>
        <sz val="8"/>
        <color rgb="FF7E7E80"/>
        <rFont val="Arial"/>
        <family val="2"/>
      </rPr>
      <t>At Aetna Chemical Co., 3,000 pounds of AN exploded while being concentrated by evaporation. Impurities in the nitric acid used to produce the AN were proposed as the cause.</t>
    </r>
    <r>
      <rPr>
        <vertAlign val="superscript"/>
        <sz val="4.5"/>
        <color rgb="FF99999A"/>
        <rFont val="Arial"/>
        <family val="2"/>
      </rPr>
      <t>111</t>
    </r>
  </si>
  <si>
    <r>
      <rPr>
        <sz val="8"/>
        <color rgb="FF7C7C7E"/>
        <rFont val="Arial"/>
        <family val="2"/>
      </rPr>
      <t xml:space="preserve">1921
</t>
    </r>
    <r>
      <rPr>
        <sz val="8"/>
        <color rgb="FF7C7C7E"/>
        <rFont val="Arial"/>
        <family val="2"/>
      </rPr>
      <t>26-Jul</t>
    </r>
  </si>
  <si>
    <r>
      <rPr>
        <sz val="8"/>
        <color rgb="FF7C7C7E"/>
        <rFont val="Arial"/>
        <family val="2"/>
      </rPr>
      <t>Germany</t>
    </r>
  </si>
  <si>
    <r>
      <rPr>
        <sz val="8"/>
        <color rgb="FF7C7C7E"/>
        <rFont val="Arial"/>
        <family val="2"/>
      </rPr>
      <t>Kriewald</t>
    </r>
  </si>
  <si>
    <r>
      <rPr>
        <sz val="8"/>
        <color rgb="FF7C7C7E"/>
        <rFont val="Arial"/>
        <family val="2"/>
      </rPr>
      <t>Processing</t>
    </r>
  </si>
  <si>
    <r>
      <rPr>
        <sz val="8"/>
        <color rgb="FF7C7C7E"/>
        <rFont val="Arial"/>
        <family val="2"/>
      </rPr>
      <t>Mining explosives were used in an attempt to dislodge 30 tonnes of AN that had aggregated in two wagons, exploding the wagons instead</t>
    </r>
    <r>
      <rPr>
        <sz val="8"/>
        <color rgb="FF979799"/>
        <rFont val="Arial"/>
        <family val="2"/>
      </rPr>
      <t>.</t>
    </r>
  </si>
  <si>
    <r>
      <rPr>
        <sz val="8"/>
        <color rgb="FF7C7C7E"/>
        <rFont val="Arial"/>
        <family val="2"/>
      </rPr>
      <t xml:space="preserve">1921
</t>
    </r>
    <r>
      <rPr>
        <sz val="8"/>
        <color rgb="FF7C7C7E"/>
        <rFont val="Arial"/>
        <family val="2"/>
      </rPr>
      <t>21-Sep</t>
    </r>
  </si>
  <si>
    <r>
      <rPr>
        <sz val="8"/>
        <color rgb="FF7C7C7E"/>
        <rFont val="Arial"/>
        <family val="2"/>
      </rPr>
      <t>Oppau</t>
    </r>
  </si>
  <si>
    <r>
      <rPr>
        <sz val="8"/>
        <color rgb="FF7C7C7E"/>
        <rFont val="Arial"/>
        <family val="2"/>
      </rPr>
      <t>Attempted disaggregation of a 50</t>
    </r>
    <r>
      <rPr>
        <sz val="8"/>
        <color rgb="FF979799"/>
        <rFont val="Arial"/>
        <family val="2"/>
      </rPr>
      <t>:</t>
    </r>
    <r>
      <rPr>
        <sz val="8"/>
        <color rgb="FF7C7C7E"/>
        <rFont val="Arial"/>
        <family val="2"/>
      </rPr>
      <t>50 mixture of AN and ammonium sulfate stored at a BASF plant in Oppau caused a massive explosion. Only 450 tonnes of the AN exploded, out of 4,500 tonnes of fertilizer in the pile.</t>
    </r>
    <r>
      <rPr>
        <vertAlign val="superscript"/>
        <sz val="4.5"/>
        <color rgb="FF979799"/>
        <rFont val="Arial"/>
        <family val="2"/>
      </rPr>
      <t>112</t>
    </r>
    <r>
      <rPr>
        <sz val="4.5"/>
        <color rgb="FF979799"/>
        <rFont val="Arial"/>
        <family val="2"/>
      </rPr>
      <t>-</t>
    </r>
    <r>
      <rPr>
        <vertAlign val="superscript"/>
        <sz val="4.5"/>
        <color rgb="FF979799"/>
        <rFont val="Arial"/>
        <family val="2"/>
      </rPr>
      <t>113</t>
    </r>
  </si>
  <si>
    <r>
      <rPr>
        <sz val="8"/>
        <color rgb="FF7C7C7E"/>
        <rFont val="Arial"/>
        <family val="2"/>
      </rPr>
      <t>United States</t>
    </r>
  </si>
  <si>
    <r>
      <rPr>
        <sz val="8"/>
        <color rgb="FF7C7C7E"/>
        <rFont val="Arial"/>
        <family val="2"/>
      </rPr>
      <t>Emporium, Pennsylvania</t>
    </r>
  </si>
  <si>
    <r>
      <rPr>
        <sz val="8"/>
        <color rgb="FF7C7C7E"/>
        <rFont val="Arial"/>
        <family val="2"/>
      </rPr>
      <t>N.A</t>
    </r>
  </si>
  <si>
    <r>
      <rPr>
        <sz val="8"/>
        <color rgb="FF7C7C7E"/>
        <rFont val="Arial"/>
        <family val="2"/>
      </rPr>
      <t>0.2</t>
    </r>
  </si>
  <si>
    <r>
      <rPr>
        <sz val="8"/>
        <color rgb="FF7C7C7E"/>
        <rFont val="Arial"/>
        <family val="2"/>
      </rPr>
      <t>Manufacturing</t>
    </r>
  </si>
  <si>
    <r>
      <rPr>
        <sz val="8"/>
        <color rgb="FF7C7C7E"/>
        <rFont val="Arial"/>
        <family val="2"/>
      </rPr>
      <t>500 pounds of AN exploded during evaporation.</t>
    </r>
    <r>
      <rPr>
        <vertAlign val="superscript"/>
        <sz val="4.5"/>
        <color rgb="FF979799"/>
        <rFont val="Arial"/>
        <family val="2"/>
      </rPr>
      <t>8</t>
    </r>
  </si>
  <si>
    <r>
      <rPr>
        <sz val="8"/>
        <color rgb="FF7C7C7E"/>
        <rFont val="Arial"/>
        <family val="2"/>
      </rPr>
      <t xml:space="preserve">1942
</t>
    </r>
    <r>
      <rPr>
        <sz val="8"/>
        <color rgb="FF7C7C7E"/>
        <rFont val="Arial"/>
        <family val="2"/>
      </rPr>
      <t>29-Apr</t>
    </r>
  </si>
  <si>
    <r>
      <rPr>
        <sz val="8"/>
        <color rgb="FF7C7C7E"/>
        <rFont val="Arial"/>
        <family val="2"/>
      </rPr>
      <t>Belgium</t>
    </r>
  </si>
  <si>
    <r>
      <rPr>
        <sz val="8"/>
        <color rgb="FF7C7C7E"/>
        <rFont val="Arial"/>
        <family val="2"/>
      </rPr>
      <t>Tessenderlo</t>
    </r>
  </si>
  <si>
    <r>
      <rPr>
        <sz val="8"/>
        <color rgb="FF7C7C7E"/>
        <rFont val="Arial"/>
        <family val="2"/>
      </rPr>
      <t>Attempted disaggregation of a pile containing 150 tonnes of AN with industrial explosives caused an explosion.</t>
    </r>
    <r>
      <rPr>
        <vertAlign val="superscript"/>
        <sz val="4.5"/>
        <color rgb="FF979799"/>
        <rFont val="Arial"/>
        <family val="2"/>
      </rPr>
      <t>114</t>
    </r>
  </si>
  <si>
    <r>
      <rPr>
        <sz val="8"/>
        <color rgb="FF7C7C7E"/>
        <rFont val="Arial"/>
        <family val="2"/>
      </rPr>
      <t>Milan, Tennes- see</t>
    </r>
  </si>
  <si>
    <r>
      <rPr>
        <sz val="7.5"/>
        <color rgb="FF7C7C7E"/>
        <rFont val="Arial"/>
        <family val="2"/>
      </rPr>
      <t>N.A.</t>
    </r>
  </si>
  <si>
    <r>
      <rPr>
        <sz val="8"/>
        <color rgb="FF7C7C7E"/>
        <rFont val="Arial"/>
        <family val="2"/>
      </rPr>
      <t xml:space="preserve">Explosion during evaporation (AN contami­ nated with oil and further
</t>
    </r>
    <r>
      <rPr>
        <sz val="8"/>
        <color rgb="FF7C7C7E"/>
        <rFont val="Arial"/>
        <family val="2"/>
      </rPr>
      <t>sprayed with oil-air mixture from a broken compressor).</t>
    </r>
    <r>
      <rPr>
        <vertAlign val="superscript"/>
        <sz val="4.5"/>
        <color rgb="FF979799"/>
        <rFont val="Arial"/>
        <family val="2"/>
      </rPr>
      <t>8</t>
    </r>
  </si>
  <si>
    <t>April 14,1920</t>
  </si>
  <si>
    <t>International waters</t>
  </si>
  <si>
    <t>January 23, 1953</t>
  </si>
  <si>
    <t>NA</t>
  </si>
  <si>
    <t>500 pounds of AN exploded during evaporation at Hercules powder co destroying the building</t>
  </si>
  <si>
    <t>May 27, 1925</t>
  </si>
  <si>
    <t>Iran</t>
  </si>
  <si>
    <t>United States</t>
  </si>
  <si>
    <t>Brooklyn, New York</t>
  </si>
  <si>
    <t>1,919 / 882</t>
  </si>
  <si>
    <t>Fire broke out on the steamer Hallfried while discharging cargo, which included 1,919 tonnes of AN in casks. Although the
fire was intense and 882 tonnes of the AN were destroyed, no explosion occurred.7s</t>
  </si>
  <si>
    <t>Emporium, Pennsylvania</t>
  </si>
  <si>
    <t>0.2</t>
  </si>
  <si>
    <t>Red Sea</t>
  </si>
  <si>
    <t>The Norwegian cargo ship Ocean Liberty was loaded with 3,309 tonnes of AN and various flammable products when it caught fire. Pumping pressured steam into the sealed hold did not stop the fire; the ship exploded while being towed from the
harbor.95•96</t>
  </si>
  <si>
    <t>Neyshabur</t>
  </si>
  <si>
    <t>A train carrying sulfur, AN, cotton, and oil derailed and exploded, killing 300 people,_02,103</t>
  </si>
  <si>
    <t>February 18,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</si>
</sst>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mmmm\ d\,\ yyyy;@"/>
    <numFmt numFmtId="165" formatCode="dd/mm/yy;@"/>
    <numFmt numFmtId="166" formatCode="0.000"/>
    <numFmt numFmtId="167" formatCode="[$-F800]dddd\,\ mmmm\ dd\,\ yyyy"/>
  </numFmts>
  <fonts count="34" x14ac:knownFonts="1">
    <font>
      <sz val="11"/>
      <color theme="1"/>
      <name val="Calibri"/>
      <family val="2"/>
      <scheme val="minor"/>
    </font>
    <font>
      <b/>
      <sz val="11"/>
      <color theme="1"/>
      <name val="Calibri"/>
      <family val="2"/>
      <scheme val="minor"/>
    </font>
    <font>
      <sz val="11"/>
      <color rgb="FF202122"/>
      <name val="Arial"/>
      <family val="2"/>
    </font>
    <font>
      <sz val="10"/>
      <color theme="1"/>
      <name val="Calibri"/>
      <family val="2"/>
      <scheme val="minor"/>
    </font>
    <font>
      <b/>
      <sz val="10"/>
      <color rgb="FF000000"/>
      <name val="Verdana"/>
      <family val="2"/>
    </font>
    <font>
      <sz val="10"/>
      <color theme="1"/>
      <name val="Arial"/>
      <family val="2"/>
    </font>
    <font>
      <sz val="10"/>
      <color rgb="FF000000"/>
      <name val="Verdana"/>
      <family val="2"/>
    </font>
    <font>
      <u/>
      <sz val="11"/>
      <color theme="10"/>
      <name val="Calibri"/>
      <family val="2"/>
      <scheme val="minor"/>
    </font>
    <font>
      <sz val="9.6"/>
      <color rgb="FF374151"/>
      <name val="Segoe UI"/>
      <family val="2"/>
    </font>
    <font>
      <sz val="8"/>
      <color rgb="FF7E7E80"/>
      <name val="Arial"/>
      <family val="2"/>
    </font>
    <font>
      <sz val="8"/>
      <name val="Arial"/>
      <family val="2"/>
    </font>
    <font>
      <vertAlign val="superscript"/>
      <sz val="8"/>
      <color rgb="FF9A9A9C"/>
      <name val="Arial"/>
      <family val="2"/>
    </font>
    <font>
      <sz val="8"/>
      <color rgb="FF9A9A9C"/>
      <name val="Arial"/>
      <family val="2"/>
    </font>
    <font>
      <vertAlign val="superscript"/>
      <sz val="5"/>
      <color rgb="FF9A9A9C"/>
      <name val="Arial"/>
      <family val="2"/>
    </font>
    <font>
      <sz val="5"/>
      <color rgb="FF9A9A9C"/>
      <name val="Arial"/>
      <family val="2"/>
    </font>
    <font>
      <sz val="8"/>
      <name val="Arial"/>
      <family val="2"/>
    </font>
    <font>
      <sz val="8"/>
      <color rgb="FF97979A"/>
      <name val="Arial"/>
      <family val="2"/>
    </font>
    <font>
      <vertAlign val="superscript"/>
      <sz val="8"/>
      <color rgb="FF97979A"/>
      <name val="Arial"/>
      <family val="2"/>
    </font>
    <font>
      <b/>
      <sz val="7.5"/>
      <name val="Arial"/>
      <family val="2"/>
    </font>
    <font>
      <b/>
      <sz val="7.5"/>
      <color rgb="FF7E7E80"/>
      <name val="Arial"/>
      <family val="2"/>
    </font>
    <font>
      <vertAlign val="superscript"/>
      <sz val="8"/>
      <color rgb="FF9C9C9E"/>
      <name val="Arial"/>
      <family val="2"/>
    </font>
    <font>
      <sz val="8"/>
      <color rgb="FF9C9C9E"/>
      <name val="Arial"/>
      <family val="2"/>
    </font>
    <font>
      <sz val="8"/>
      <color rgb="FFACAEB1"/>
      <name val="Arial"/>
      <family val="2"/>
    </font>
    <font>
      <vertAlign val="superscript"/>
      <sz val="8"/>
      <color rgb="FF7E7E80"/>
      <name val="Arial"/>
      <family val="2"/>
    </font>
    <font>
      <vertAlign val="superscript"/>
      <sz val="4.5"/>
      <color rgb="FF99999A"/>
      <name val="Arial"/>
      <family val="2"/>
    </font>
    <font>
      <sz val="8"/>
      <color rgb="FF99999A"/>
      <name val="Arial"/>
      <family val="2"/>
    </font>
    <font>
      <vertAlign val="superscript"/>
      <sz val="8"/>
      <color rgb="FF99999A"/>
      <name val="Arial"/>
      <family val="2"/>
    </font>
    <font>
      <sz val="7.5"/>
      <color rgb="FF7E7E80"/>
      <name val="Arial"/>
      <family val="2"/>
    </font>
    <font>
      <sz val="8"/>
      <color rgb="FF7C7C7E"/>
      <name val="Arial"/>
      <family val="2"/>
    </font>
    <font>
      <sz val="8"/>
      <color rgb="FF979799"/>
      <name val="Arial"/>
      <family val="2"/>
    </font>
    <font>
      <vertAlign val="superscript"/>
      <sz val="4.5"/>
      <color rgb="FF979799"/>
      <name val="Arial"/>
      <family val="2"/>
    </font>
    <font>
      <sz val="4.5"/>
      <color rgb="FF979799"/>
      <name val="Arial"/>
      <family val="2"/>
    </font>
    <font>
      <sz val="7.5"/>
      <name val="Arial"/>
      <family val="2"/>
    </font>
    <font>
      <sz val="7.5"/>
      <color rgb="FF7C7C7E"/>
      <name val="Arial"/>
      <family val="2"/>
    </font>
  </fonts>
  <fills count="6">
    <fill>
      <patternFill patternType="none"/>
    </fill>
    <fill>
      <patternFill patternType="gray125"/>
    </fill>
    <fill>
      <patternFill patternType="solid">
        <fgColor rgb="FFF7F7F8"/>
        <bgColor indexed="64"/>
      </patternFill>
    </fill>
    <fill>
      <patternFill patternType="solid">
        <fgColor rgb="FFFFFF00"/>
        <bgColor indexed="64"/>
      </patternFill>
    </fill>
    <fill>
      <patternFill patternType="solid">
        <fgColor rgb="FFE9E9EB"/>
      </patternFill>
    </fill>
    <fill>
      <patternFill patternType="solid">
        <fgColor rgb="FFE2E4E2"/>
      </patternFill>
    </fill>
  </fills>
  <borders count="5">
    <border>
      <left/>
      <right/>
      <top/>
      <bottom/>
      <diagonal/>
    </border>
    <border>
      <left style="medium">
        <color rgb="FFD9D9E3"/>
      </left>
      <right/>
      <top/>
      <bottom style="medium">
        <color rgb="FFD9D9E3"/>
      </bottom>
      <diagonal/>
    </border>
    <border>
      <left style="thin">
        <color rgb="FF365D7E"/>
      </left>
      <right/>
      <top style="thin">
        <color rgb="FF365D7E"/>
      </top>
      <bottom style="thin">
        <color rgb="FF365D7E"/>
      </bottom>
      <diagonal/>
    </border>
    <border>
      <left/>
      <right/>
      <top style="thin">
        <color rgb="FF365D7E"/>
      </top>
      <bottom style="thin">
        <color rgb="FF365D7E"/>
      </bottom>
      <diagonal/>
    </border>
    <border>
      <left/>
      <right style="thin">
        <color rgb="FF365D7E"/>
      </right>
      <top style="thin">
        <color rgb="FF365D7E"/>
      </top>
      <bottom style="thin">
        <color rgb="FF365D7E"/>
      </bottom>
      <diagonal/>
    </border>
  </borders>
  <cellStyleXfs count="2">
    <xf numFmtId="0" fontId="0" fillId="0" borderId="0"/>
    <xf numFmtId="0" fontId="7" fillId="0" borderId="0" applyNumberFormat="0" applyFill="0" applyBorder="0" applyAlignment="0" applyProtection="0"/>
  </cellStyleXfs>
  <cellXfs count="130">
    <xf numFmtId="0" fontId="0" fillId="0" borderId="0" xfId="0"/>
    <xf numFmtId="0" fontId="2" fillId="0" borderId="0" xfId="0" applyFont="1"/>
    <xf numFmtId="0" fontId="3" fillId="0" borderId="0" xfId="0" applyFont="1" applyAlignment="1">
      <alignment horizontal="left" vertical="center" indent="2" readingOrder="1"/>
    </xf>
    <xf numFmtId="0" fontId="4" fillId="0" borderId="0" xfId="0" applyFont="1" applyAlignment="1">
      <alignment horizontal="left" vertical="center" indent="2" readingOrder="1"/>
    </xf>
    <xf numFmtId="0" fontId="3" fillId="0" borderId="0" xfId="0" applyFont="1" applyAlignment="1" applyProtection="1">
      <alignment horizontal="left" vertical="center" indent="8" readingOrder="1"/>
      <protection locked="0"/>
    </xf>
    <xf numFmtId="0" fontId="5" fillId="0" borderId="0" xfId="0" applyFont="1" applyAlignment="1">
      <alignment horizontal="left" vertical="center" indent="8" readingOrder="1"/>
    </xf>
    <xf numFmtId="0" fontId="6" fillId="0" borderId="0" xfId="0" applyFont="1"/>
    <xf numFmtId="0" fontId="3" fillId="0" borderId="0" xfId="0" applyFont="1"/>
    <xf numFmtId="0" fontId="7" fillId="0" borderId="0" xfId="1"/>
    <xf numFmtId="16" fontId="0" fillId="0" borderId="0" xfId="0" applyNumberFormat="1"/>
    <xf numFmtId="0" fontId="1" fillId="0" borderId="0" xfId="0" applyFont="1"/>
    <xf numFmtId="0" fontId="8" fillId="2" borderId="1" xfId="0" applyFont="1" applyFill="1" applyBorder="1" applyAlignment="1">
      <alignment vertical="center" wrapText="1"/>
    </xf>
    <xf numFmtId="0" fontId="8" fillId="2" borderId="1" xfId="0" applyFont="1" applyFill="1" applyBorder="1" applyAlignment="1">
      <alignment vertical="center"/>
    </xf>
    <xf numFmtId="164" fontId="8" fillId="2" borderId="1" xfId="0" applyNumberFormat="1" applyFont="1" applyFill="1" applyBorder="1" applyAlignment="1">
      <alignment vertical="center" wrapText="1"/>
    </xf>
    <xf numFmtId="0" fontId="0" fillId="0" borderId="0" xfId="0" applyFill="1" applyBorder="1"/>
    <xf numFmtId="164" fontId="1" fillId="0" borderId="0" xfId="0" applyNumberFormat="1" applyFont="1" applyAlignment="1">
      <alignment vertical="center"/>
    </xf>
    <xf numFmtId="164" fontId="0" fillId="0" borderId="0" xfId="0" applyNumberFormat="1" applyAlignment="1">
      <alignment vertical="center"/>
    </xf>
    <xf numFmtId="0" fontId="0" fillId="3" borderId="0" xfId="0" applyFill="1"/>
    <xf numFmtId="1" fontId="0" fillId="0" borderId="0" xfId="0" applyNumberFormat="1"/>
    <xf numFmtId="0" fontId="10" fillId="4" borderId="2" xfId="0" applyFont="1" applyFill="1" applyBorder="1" applyAlignment="1">
      <alignment horizontal="left" vertical="top" wrapText="1"/>
    </xf>
    <xf numFmtId="0" fontId="10" fillId="4" borderId="3" xfId="0" applyFont="1" applyFill="1" applyBorder="1" applyAlignment="1">
      <alignment horizontal="left" vertical="top" wrapText="1"/>
    </xf>
    <xf numFmtId="0" fontId="10" fillId="4" borderId="4" xfId="0" applyFont="1" applyFill="1" applyBorder="1" applyAlignment="1">
      <alignment horizontal="left" vertical="top" wrapText="1"/>
    </xf>
    <xf numFmtId="165" fontId="0" fillId="0" borderId="2" xfId="0" applyNumberFormat="1" applyFill="1" applyBorder="1" applyAlignment="1">
      <alignment horizontal="left" vertical="center" wrapText="1"/>
    </xf>
    <xf numFmtId="165" fontId="0" fillId="0" borderId="3" xfId="0" applyNumberFormat="1" applyFill="1" applyBorder="1" applyAlignment="1">
      <alignment horizontal="left" vertical="center" wrapText="1"/>
    </xf>
    <xf numFmtId="165" fontId="0" fillId="0" borderId="4" xfId="0" applyNumberForma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3" xfId="0" applyFont="1" applyFill="1" applyBorder="1" applyAlignment="1">
      <alignment horizontal="left" vertical="center" wrapText="1"/>
    </xf>
    <xf numFmtId="0" fontId="10" fillId="0" borderId="4" xfId="0" applyFont="1" applyFill="1" applyBorder="1" applyAlignment="1">
      <alignment horizontal="left" vertical="center" wrapText="1"/>
    </xf>
    <xf numFmtId="1" fontId="9" fillId="0" borderId="2" xfId="0" applyNumberFormat="1" applyFont="1" applyFill="1" applyBorder="1" applyAlignment="1">
      <alignment horizontal="left" vertical="center" shrinkToFit="1"/>
    </xf>
    <xf numFmtId="1" fontId="9" fillId="0" borderId="3" xfId="0" applyNumberFormat="1" applyFont="1" applyFill="1" applyBorder="1" applyAlignment="1">
      <alignment horizontal="left" vertical="center" shrinkToFit="1"/>
    </xf>
    <xf numFmtId="1" fontId="9" fillId="0" borderId="4" xfId="0" applyNumberFormat="1" applyFont="1" applyFill="1" applyBorder="1" applyAlignment="1">
      <alignment horizontal="left" vertical="center" shrinkToFi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165" fontId="0" fillId="4" borderId="2" xfId="0" applyNumberFormat="1" applyFill="1" applyBorder="1" applyAlignment="1">
      <alignment horizontal="left" vertical="top" wrapText="1"/>
    </xf>
    <xf numFmtId="165" fontId="0" fillId="4" borderId="3" xfId="0" applyNumberFormat="1" applyFill="1" applyBorder="1" applyAlignment="1">
      <alignment horizontal="left" vertical="top" wrapText="1"/>
    </xf>
    <xf numFmtId="165" fontId="0" fillId="4" borderId="4" xfId="0" applyNumberFormat="1" applyFill="1" applyBorder="1" applyAlignment="1">
      <alignment horizontal="left" vertical="top" wrapText="1"/>
    </xf>
    <xf numFmtId="1" fontId="9" fillId="4" borderId="2" xfId="0" applyNumberFormat="1" applyFont="1" applyFill="1" applyBorder="1" applyAlignment="1">
      <alignment horizontal="left" vertical="top" shrinkToFit="1"/>
    </xf>
    <xf numFmtId="1" fontId="9" fillId="4" borderId="3" xfId="0" applyNumberFormat="1" applyFont="1" applyFill="1" applyBorder="1" applyAlignment="1">
      <alignment horizontal="left" vertical="top" shrinkToFit="1"/>
    </xf>
    <xf numFmtId="1" fontId="9" fillId="4" borderId="4" xfId="0" applyNumberFormat="1" applyFont="1" applyFill="1" applyBorder="1" applyAlignment="1">
      <alignment horizontal="left" vertical="top" shrinkToFit="1"/>
    </xf>
    <xf numFmtId="165" fontId="0" fillId="0" borderId="2" xfId="0" applyNumberFormat="1" applyFill="1" applyBorder="1" applyAlignment="1">
      <alignment horizontal="left" vertical="top" wrapText="1"/>
    </xf>
    <xf numFmtId="165" fontId="0" fillId="0" borderId="3" xfId="0" applyNumberFormat="1" applyFill="1" applyBorder="1" applyAlignment="1">
      <alignment horizontal="left" vertical="top" wrapText="1"/>
    </xf>
    <xf numFmtId="165" fontId="0" fillId="0" borderId="4" xfId="0" applyNumberForma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10" fillId="4" borderId="2"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1" fontId="9" fillId="4" borderId="2" xfId="0" applyNumberFormat="1" applyFont="1" applyFill="1" applyBorder="1" applyAlignment="1">
      <alignment horizontal="left" vertical="center" shrinkToFit="1"/>
    </xf>
    <xf numFmtId="1" fontId="9" fillId="4" borderId="3" xfId="0" applyNumberFormat="1" applyFont="1" applyFill="1" applyBorder="1" applyAlignment="1">
      <alignment horizontal="left" vertical="center" shrinkToFit="1"/>
    </xf>
    <xf numFmtId="1" fontId="9" fillId="4" borderId="4" xfId="0" applyNumberFormat="1" applyFont="1" applyFill="1" applyBorder="1" applyAlignment="1">
      <alignment horizontal="left" vertical="center" shrinkToFi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167" fontId="9" fillId="4" borderId="2" xfId="0" applyNumberFormat="1" applyFont="1" applyFill="1" applyBorder="1" applyAlignment="1">
      <alignment horizontal="left" vertical="center" shrinkToFit="1"/>
    </xf>
    <xf numFmtId="167" fontId="9" fillId="4" borderId="3" xfId="0" applyNumberFormat="1" applyFont="1" applyFill="1" applyBorder="1" applyAlignment="1">
      <alignment horizontal="left" vertical="center" shrinkToFit="1"/>
    </xf>
    <xf numFmtId="167" fontId="9" fillId="4" borderId="4" xfId="0" applyNumberFormat="1" applyFont="1" applyFill="1" applyBorder="1" applyAlignment="1">
      <alignment horizontal="left" vertical="center" shrinkToFit="1"/>
    </xf>
    <xf numFmtId="165" fontId="0" fillId="4" borderId="2" xfId="0" applyNumberFormat="1" applyFill="1" applyBorder="1" applyAlignment="1">
      <alignment horizontal="left" vertical="center" wrapText="1"/>
    </xf>
    <xf numFmtId="165" fontId="0" fillId="4" borderId="3" xfId="0" applyNumberFormat="1" applyFill="1" applyBorder="1" applyAlignment="1">
      <alignment horizontal="left" vertical="center" wrapText="1"/>
    </xf>
    <xf numFmtId="165" fontId="0" fillId="4" borderId="4" xfId="0" applyNumberFormat="1" applyFill="1" applyBorder="1" applyAlignment="1">
      <alignment horizontal="left" vertical="center" wrapText="1"/>
    </xf>
    <xf numFmtId="0" fontId="15" fillId="0" borderId="2" xfId="0" applyFont="1" applyFill="1" applyBorder="1" applyAlignment="1">
      <alignment horizontal="left" vertical="top" wrapText="1"/>
    </xf>
    <xf numFmtId="0" fontId="15" fillId="0" borderId="3" xfId="0" applyFont="1" applyFill="1" applyBorder="1" applyAlignment="1">
      <alignment horizontal="left" vertical="top" wrapText="1"/>
    </xf>
    <xf numFmtId="0" fontId="15" fillId="0" borderId="4" xfId="0" applyFont="1" applyFill="1" applyBorder="1" applyAlignment="1">
      <alignment horizontal="left" vertical="top" wrapText="1"/>
    </xf>
    <xf numFmtId="1" fontId="9" fillId="0" borderId="2" xfId="0" applyNumberFormat="1" applyFont="1" applyFill="1" applyBorder="1" applyAlignment="1">
      <alignment horizontal="left" vertical="top" shrinkToFit="1"/>
    </xf>
    <xf numFmtId="1" fontId="9" fillId="0" borderId="3" xfId="0" applyNumberFormat="1" applyFont="1" applyFill="1" applyBorder="1" applyAlignment="1">
      <alignment horizontal="left" vertical="top" shrinkToFit="1"/>
    </xf>
    <xf numFmtId="1" fontId="9" fillId="0" borderId="4" xfId="0" applyNumberFormat="1" applyFont="1" applyFill="1" applyBorder="1" applyAlignment="1">
      <alignment horizontal="left" vertical="top" shrinkToFit="1"/>
    </xf>
    <xf numFmtId="0" fontId="10" fillId="4" borderId="2" xfId="0" applyFont="1" applyFill="1" applyBorder="1" applyAlignment="1">
      <alignment horizontal="left" vertical="center" wrapText="1" indent="1"/>
    </xf>
    <xf numFmtId="0" fontId="10" fillId="4" borderId="3" xfId="0" applyFont="1" applyFill="1" applyBorder="1" applyAlignment="1">
      <alignment horizontal="left" vertical="center" wrapText="1" indent="1"/>
    </xf>
    <xf numFmtId="0" fontId="10" fillId="4" borderId="4" xfId="0" applyFont="1" applyFill="1" applyBorder="1" applyAlignment="1">
      <alignment horizontal="left" vertical="center" wrapText="1" indent="1"/>
    </xf>
    <xf numFmtId="0" fontId="15" fillId="0" borderId="2" xfId="0" applyFont="1" applyFill="1" applyBorder="1" applyAlignment="1">
      <alignment horizontal="left" vertical="center" wrapText="1"/>
    </xf>
    <xf numFmtId="0" fontId="15" fillId="0" borderId="3"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5" fillId="0" borderId="2" xfId="0" applyFont="1" applyFill="1" applyBorder="1" applyAlignment="1">
      <alignment horizontal="left" vertical="center" wrapText="1" indent="1"/>
    </xf>
    <xf numFmtId="0" fontId="15" fillId="0" borderId="3" xfId="0" applyFont="1" applyFill="1" applyBorder="1" applyAlignment="1">
      <alignment horizontal="left" vertical="center" wrapText="1" indent="1"/>
    </xf>
    <xf numFmtId="0" fontId="15" fillId="0" borderId="4" xfId="0" applyFont="1" applyFill="1" applyBorder="1" applyAlignment="1">
      <alignment horizontal="left" vertical="center" wrapText="1" indent="1"/>
    </xf>
    <xf numFmtId="0" fontId="0" fillId="4" borderId="2" xfId="0" applyFill="1" applyBorder="1" applyAlignment="1">
      <alignment horizontal="left" vertical="center" wrapText="1"/>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5" fillId="4" borderId="2" xfId="0" applyFont="1" applyFill="1" applyBorder="1" applyAlignment="1">
      <alignment horizontal="left" vertical="center" wrapText="1"/>
    </xf>
    <xf numFmtId="0" fontId="15" fillId="4" borderId="3" xfId="0" applyFont="1" applyFill="1" applyBorder="1" applyAlignment="1">
      <alignment horizontal="left" vertical="center" wrapText="1"/>
    </xf>
    <xf numFmtId="0" fontId="15" fillId="4" borderId="4" xfId="0" applyFont="1" applyFill="1" applyBorder="1" applyAlignment="1">
      <alignment horizontal="left" vertical="center" wrapText="1"/>
    </xf>
    <xf numFmtId="0" fontId="18" fillId="0" borderId="2" xfId="0" applyFont="1" applyFill="1" applyBorder="1" applyAlignment="1">
      <alignment horizontal="left" vertical="center" wrapText="1" indent="1"/>
    </xf>
    <xf numFmtId="0" fontId="18" fillId="0" borderId="3" xfId="0" applyFont="1" applyFill="1" applyBorder="1" applyAlignment="1">
      <alignment horizontal="left" vertical="center" wrapText="1" indent="1"/>
    </xf>
    <xf numFmtId="0" fontId="18" fillId="0" borderId="4" xfId="0" applyFont="1" applyFill="1" applyBorder="1" applyAlignment="1">
      <alignment horizontal="left" vertical="center" wrapText="1" indent="1"/>
    </xf>
    <xf numFmtId="0" fontId="15" fillId="4" borderId="2" xfId="0" applyFont="1" applyFill="1" applyBorder="1" applyAlignment="1">
      <alignment horizontal="left" vertical="top" wrapText="1"/>
    </xf>
    <xf numFmtId="0" fontId="15" fillId="4" borderId="3" xfId="0" applyFont="1" applyFill="1" applyBorder="1" applyAlignment="1">
      <alignment horizontal="left" vertical="top" wrapText="1"/>
    </xf>
    <xf numFmtId="0" fontId="15" fillId="4" borderId="4" xfId="0" applyFont="1" applyFill="1" applyBorder="1" applyAlignment="1">
      <alignment horizontal="left" vertical="top"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15" fillId="3" borderId="2" xfId="0" applyFont="1" applyFill="1" applyBorder="1" applyAlignment="1">
      <alignment horizontal="left" vertical="top" wrapText="1"/>
    </xf>
    <xf numFmtId="0" fontId="15" fillId="3" borderId="3" xfId="0" applyFont="1" applyFill="1" applyBorder="1" applyAlignment="1">
      <alignment horizontal="left" vertical="top" wrapText="1"/>
    </xf>
    <xf numFmtId="0" fontId="15" fillId="3" borderId="4" xfId="0" applyFont="1" applyFill="1" applyBorder="1" applyAlignment="1">
      <alignment horizontal="left" vertical="top" wrapText="1"/>
    </xf>
    <xf numFmtId="1" fontId="9" fillId="3" borderId="2" xfId="0" applyNumberFormat="1" applyFont="1" applyFill="1" applyBorder="1" applyAlignment="1">
      <alignment horizontal="left" vertical="center" shrinkToFit="1"/>
    </xf>
    <xf numFmtId="1" fontId="9" fillId="3" borderId="3" xfId="0" applyNumberFormat="1" applyFont="1" applyFill="1" applyBorder="1" applyAlignment="1">
      <alignment horizontal="left" vertical="center" shrinkToFit="1"/>
    </xf>
    <xf numFmtId="1" fontId="9" fillId="3" borderId="4" xfId="0" applyNumberFormat="1" applyFont="1" applyFill="1" applyBorder="1" applyAlignment="1">
      <alignment horizontal="left" vertical="center" shrinkToFit="1"/>
    </xf>
    <xf numFmtId="0" fontId="15" fillId="3" borderId="2"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5" fillId="3" borderId="4" xfId="0" applyFont="1" applyFill="1" applyBorder="1" applyAlignment="1">
      <alignment horizontal="left" vertical="center" wrapText="1"/>
    </xf>
    <xf numFmtId="166" fontId="9" fillId="4" borderId="2" xfId="0" applyNumberFormat="1" applyFont="1" applyFill="1" applyBorder="1" applyAlignment="1">
      <alignment horizontal="left" vertical="center" shrinkToFit="1"/>
    </xf>
    <xf numFmtId="166" fontId="9" fillId="4" borderId="3" xfId="0" applyNumberFormat="1" applyFont="1" applyFill="1" applyBorder="1" applyAlignment="1">
      <alignment horizontal="left" vertical="center" shrinkToFit="1"/>
    </xf>
    <xf numFmtId="166" fontId="9" fillId="4" borderId="4" xfId="0" applyNumberFormat="1" applyFont="1" applyFill="1" applyBorder="1" applyAlignment="1">
      <alignment horizontal="left" vertical="center" shrinkToFit="1"/>
    </xf>
    <xf numFmtId="0" fontId="15" fillId="4" borderId="2" xfId="0" applyFont="1" applyFill="1" applyBorder="1" applyAlignment="1">
      <alignment horizontal="left" vertical="center" wrapText="1" indent="1"/>
    </xf>
    <xf numFmtId="0" fontId="15" fillId="4" borderId="3" xfId="0" applyFont="1" applyFill="1" applyBorder="1" applyAlignment="1">
      <alignment horizontal="left" vertical="center" wrapText="1" indent="1"/>
    </xf>
    <xf numFmtId="0" fontId="15" fillId="4" borderId="4" xfId="0" applyFont="1" applyFill="1" applyBorder="1" applyAlignment="1">
      <alignment horizontal="left" vertical="center" wrapText="1" indent="1"/>
    </xf>
    <xf numFmtId="1" fontId="9" fillId="5" borderId="2" xfId="0" applyNumberFormat="1" applyFont="1" applyFill="1" applyBorder="1" applyAlignment="1">
      <alignment horizontal="left" vertical="center" shrinkToFit="1"/>
    </xf>
    <xf numFmtId="1" fontId="9" fillId="5" borderId="3" xfId="0" applyNumberFormat="1" applyFont="1" applyFill="1" applyBorder="1" applyAlignment="1">
      <alignment horizontal="left" vertical="center" shrinkToFit="1"/>
    </xf>
    <xf numFmtId="1" fontId="9" fillId="5" borderId="4" xfId="0" applyNumberFormat="1" applyFont="1" applyFill="1" applyBorder="1" applyAlignment="1">
      <alignment horizontal="left" vertical="center" shrinkToFit="1"/>
    </xf>
    <xf numFmtId="1" fontId="27" fillId="3" borderId="2" xfId="0" applyNumberFormat="1" applyFont="1" applyFill="1" applyBorder="1" applyAlignment="1">
      <alignment horizontal="left" vertical="center" shrinkToFit="1"/>
    </xf>
    <xf numFmtId="1" fontId="27" fillId="3" borderId="3" xfId="0" applyNumberFormat="1" applyFont="1" applyFill="1" applyBorder="1" applyAlignment="1">
      <alignment horizontal="left" vertical="center" shrinkToFit="1"/>
    </xf>
    <xf numFmtId="1" fontId="27" fillId="3" borderId="4" xfId="0" applyNumberFormat="1" applyFont="1" applyFill="1" applyBorder="1" applyAlignment="1">
      <alignment horizontal="left" vertical="center" shrinkToFit="1"/>
    </xf>
    <xf numFmtId="1" fontId="27" fillId="4" borderId="2" xfId="0" applyNumberFormat="1" applyFont="1" applyFill="1" applyBorder="1" applyAlignment="1">
      <alignment horizontal="left" vertical="center" shrinkToFit="1"/>
    </xf>
    <xf numFmtId="1" fontId="27" fillId="4" borderId="3" xfId="0" applyNumberFormat="1" applyFont="1" applyFill="1" applyBorder="1" applyAlignment="1">
      <alignment horizontal="left" vertical="center" shrinkToFit="1"/>
    </xf>
    <xf numFmtId="1" fontId="27" fillId="4" borderId="4" xfId="0" applyNumberFormat="1" applyFont="1" applyFill="1" applyBorder="1" applyAlignment="1">
      <alignment horizontal="left" vertical="center" shrinkToFit="1"/>
    </xf>
    <xf numFmtId="1" fontId="28" fillId="0" borderId="2" xfId="0" applyNumberFormat="1" applyFont="1" applyFill="1" applyBorder="1" applyAlignment="1">
      <alignment horizontal="left" vertical="center" shrinkToFit="1"/>
    </xf>
    <xf numFmtId="1" fontId="28" fillId="0" borderId="3" xfId="0" applyNumberFormat="1" applyFont="1" applyFill="1" applyBorder="1" applyAlignment="1">
      <alignment horizontal="left" vertical="center" shrinkToFit="1"/>
    </xf>
    <xf numFmtId="1" fontId="28" fillId="0" borderId="4" xfId="0" applyNumberFormat="1" applyFont="1" applyFill="1" applyBorder="1" applyAlignment="1">
      <alignment horizontal="left" vertical="center" shrinkToFit="1"/>
    </xf>
    <xf numFmtId="1" fontId="28" fillId="4" borderId="2" xfId="0" applyNumberFormat="1" applyFont="1" applyFill="1" applyBorder="1" applyAlignment="1">
      <alignment horizontal="left" vertical="center" shrinkToFit="1"/>
    </xf>
    <xf numFmtId="1" fontId="28" fillId="4" borderId="3" xfId="0" applyNumberFormat="1" applyFont="1" applyFill="1" applyBorder="1" applyAlignment="1">
      <alignment horizontal="left" vertical="center" shrinkToFit="1"/>
    </xf>
    <xf numFmtId="1" fontId="28" fillId="4" borderId="4" xfId="0" applyNumberFormat="1" applyFont="1" applyFill="1" applyBorder="1" applyAlignment="1">
      <alignment horizontal="left" vertical="center" shrinkToFit="1"/>
    </xf>
    <xf numFmtId="0" fontId="32" fillId="4" borderId="2" xfId="0" applyFont="1" applyFill="1" applyBorder="1" applyAlignment="1">
      <alignment horizontal="left" vertical="center" wrapText="1"/>
    </xf>
    <xf numFmtId="0" fontId="32" fillId="4" borderId="3" xfId="0" applyFont="1" applyFill="1" applyBorder="1" applyAlignment="1">
      <alignment horizontal="left" vertical="center" wrapText="1"/>
    </xf>
    <xf numFmtId="0" fontId="32" fillId="4" borderId="4" xfId="0" applyFont="1" applyFill="1" applyBorder="1" applyAlignment="1">
      <alignment horizontal="left" vertical="center" wrapText="1"/>
    </xf>
    <xf numFmtId="1" fontId="28" fillId="3" borderId="2" xfId="0" applyNumberFormat="1" applyFont="1" applyFill="1" applyBorder="1" applyAlignment="1">
      <alignment horizontal="left" vertical="center" shrinkToFit="1"/>
    </xf>
    <xf numFmtId="1" fontId="28" fillId="3" borderId="3" xfId="0" applyNumberFormat="1" applyFont="1" applyFill="1" applyBorder="1" applyAlignment="1">
      <alignment horizontal="left" vertical="center" shrinkToFit="1"/>
    </xf>
    <xf numFmtId="1" fontId="28" fillId="3" borderId="4" xfId="0" applyNumberFormat="1" applyFont="1" applyFill="1" applyBorder="1" applyAlignment="1">
      <alignment horizontal="left" vertical="center" shrinkToFi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Sheet1!$D$2</c:f>
              <c:strCache>
                <c:ptCount val="1"/>
                <c:pt idx="0">
                  <c:v>Casualties</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Sheet1!$C$3:$C$12</c:f>
              <c:numCache>
                <c:formatCode>General</c:formatCode>
                <c:ptCount val="10"/>
                <c:pt idx="0">
                  <c:v>1947</c:v>
                </c:pt>
                <c:pt idx="1">
                  <c:v>1974</c:v>
                </c:pt>
                <c:pt idx="2">
                  <c:v>1984</c:v>
                </c:pt>
                <c:pt idx="3">
                  <c:v>1984</c:v>
                </c:pt>
                <c:pt idx="4">
                  <c:v>2005</c:v>
                </c:pt>
                <c:pt idx="5">
                  <c:v>2010</c:v>
                </c:pt>
                <c:pt idx="6">
                  <c:v>2015</c:v>
                </c:pt>
                <c:pt idx="7">
                  <c:v>2020</c:v>
                </c:pt>
                <c:pt idx="8">
                  <c:v>1921</c:v>
                </c:pt>
                <c:pt idx="9">
                  <c:v>2013</c:v>
                </c:pt>
              </c:numCache>
            </c:numRef>
          </c:xVal>
          <c:yVal>
            <c:numRef>
              <c:f>Sheet1!$D$3:$D$12</c:f>
              <c:numCache>
                <c:formatCode>General</c:formatCode>
                <c:ptCount val="10"/>
                <c:pt idx="0">
                  <c:v>581</c:v>
                </c:pt>
                <c:pt idx="1">
                  <c:v>28</c:v>
                </c:pt>
                <c:pt idx="2">
                  <c:v>6046</c:v>
                </c:pt>
                <c:pt idx="3">
                  <c:v>10000</c:v>
                </c:pt>
                <c:pt idx="4">
                  <c:v>6</c:v>
                </c:pt>
                <c:pt idx="5">
                  <c:v>11</c:v>
                </c:pt>
                <c:pt idx="6">
                  <c:v>173</c:v>
                </c:pt>
                <c:pt idx="7">
                  <c:v>218</c:v>
                </c:pt>
                <c:pt idx="8">
                  <c:v>560</c:v>
                </c:pt>
                <c:pt idx="9">
                  <c:v>15</c:v>
                </c:pt>
              </c:numCache>
            </c:numRef>
          </c:yVal>
          <c:smooth val="0"/>
          <c:extLst>
            <c:ext xmlns:c16="http://schemas.microsoft.com/office/drawing/2014/chart" uri="{C3380CC4-5D6E-409C-BE32-E72D297353CC}">
              <c16:uniqueId val="{00000000-4A5C-436A-8DB4-B59032097EE3}"/>
            </c:ext>
          </c:extLst>
        </c:ser>
        <c:dLbls>
          <c:showLegendKey val="0"/>
          <c:showVal val="0"/>
          <c:showCatName val="0"/>
          <c:showSerName val="0"/>
          <c:showPercent val="0"/>
          <c:showBubbleSize val="0"/>
        </c:dLbls>
        <c:axId val="559817520"/>
        <c:axId val="559818504"/>
      </c:scatterChart>
      <c:valAx>
        <c:axId val="55981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18504"/>
        <c:crosses val="autoZero"/>
        <c:crossBetween val="midCat"/>
      </c:valAx>
      <c:valAx>
        <c:axId val="55981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17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Nitrate!$G$1</c:f>
              <c:strCache>
                <c:ptCount val="1"/>
                <c:pt idx="0">
                  <c:v>Deaths</c:v>
                </c:pt>
              </c:strCache>
            </c:strRef>
          </c:tx>
          <c:spPr>
            <a:solidFill>
              <a:schemeClr val="accent1"/>
            </a:solidFill>
            <a:ln>
              <a:noFill/>
            </a:ln>
            <a:effectLst/>
          </c:spPr>
          <c:invertIfNegative val="0"/>
          <c:cat>
            <c:strRef>
              <c:f>Nitrate!$E$2:$E$40</c:f>
              <c:strCache>
                <c:ptCount val="39"/>
                <c:pt idx="0">
                  <c:v>January 14, 1916</c:v>
                </c:pt>
                <c:pt idx="1">
                  <c:v>September 15, 1916</c:v>
                </c:pt>
                <c:pt idx="2">
                  <c:v>April 2, 1916</c:v>
                </c:pt>
                <c:pt idx="3">
                  <c:v>April 14,1920</c:v>
                </c:pt>
                <c:pt idx="4">
                  <c:v>July 26, 1921</c:v>
                </c:pt>
                <c:pt idx="5">
                  <c:v>September 21, 1921</c:v>
                </c:pt>
                <c:pt idx="6">
                  <c:v>March 1, 1924</c:v>
                </c:pt>
                <c:pt idx="7">
                  <c:v>May 3, 1925</c:v>
                </c:pt>
                <c:pt idx="8">
                  <c:v>May 27, 1925</c:v>
                </c:pt>
                <c:pt idx="9">
                  <c:v>August 5, 1940</c:v>
                </c:pt>
                <c:pt idx="10">
                  <c:v>April 29, 1942</c:v>
                </c:pt>
                <c:pt idx="11">
                  <c:v>April 16, 1947</c:v>
                </c:pt>
                <c:pt idx="12">
                  <c:v>August 26, 1947</c:v>
                </c:pt>
                <c:pt idx="13">
                  <c:v>July 28, 1947</c:v>
                </c:pt>
                <c:pt idx="14">
                  <c:v>July 1, 1947</c:v>
                </c:pt>
                <c:pt idx="15">
                  <c:v>January 23, 1953</c:v>
                </c:pt>
                <c:pt idx="16">
                  <c:v>August 7, 1959</c:v>
                </c:pt>
                <c:pt idx="17">
                  <c:v>December 17, 1960</c:v>
                </c:pt>
                <c:pt idx="18">
                  <c:v>January 9, 1963</c:v>
                </c:pt>
                <c:pt idx="19">
                  <c:v>August 30, 1972</c:v>
                </c:pt>
                <c:pt idx="20">
                  <c:v>November 29, 1988</c:v>
                </c:pt>
                <c:pt idx="21">
                  <c:v>December 13, 1994</c:v>
                </c:pt>
                <c:pt idx="22">
                  <c:v>August 2, 1994</c:v>
                </c:pt>
                <c:pt idx="23">
                  <c:v>January 6, 1998</c:v>
                </c:pt>
                <c:pt idx="24">
                  <c:v>September 21, 2001</c:v>
                </c:pt>
                <c:pt idx="25">
                  <c:v>January 1, 2003</c:v>
                </c:pt>
                <c:pt idx="26">
                  <c:v>October 2, 2003</c:v>
                </c:pt>
                <c:pt idx="27">
                  <c:v>March 9, 2004</c:v>
                </c:pt>
                <c:pt idx="28">
                  <c:v>May 24, 2004</c:v>
                </c:pt>
                <c:pt idx="29">
                  <c:v>April 22, 2004</c:v>
                </c:pt>
                <c:pt idx="30">
                  <c:v>February 18, 2004</c:v>
                </c:pt>
                <c:pt idx="31">
                  <c:v>February 21, 2007</c:v>
                </c:pt>
                <c:pt idx="32">
                  <c:v>September 9, 2007</c:v>
                </c:pt>
                <c:pt idx="33">
                  <c:v>July 30, 2009</c:v>
                </c:pt>
                <c:pt idx="34">
                  <c:v>April 17, 2013</c:v>
                </c:pt>
                <c:pt idx="35">
                  <c:v>September 5, 2014</c:v>
                </c:pt>
                <c:pt idx="36">
                  <c:v>August 12, 2015</c:v>
                </c:pt>
                <c:pt idx="37">
                  <c:v>August 4, 2020</c:v>
                </c:pt>
                <c:pt idx="38">
                  <c:v>January 31, 2022</c:v>
                </c:pt>
              </c:strCache>
            </c:strRef>
          </c:cat>
          <c:val>
            <c:numRef>
              <c:f>Nitrate!$G$2:$G$40</c:f>
              <c:numCache>
                <c:formatCode>General</c:formatCode>
                <c:ptCount val="39"/>
                <c:pt idx="0">
                  <c:v>1</c:v>
                </c:pt>
                <c:pt idx="1">
                  <c:v>6</c:v>
                </c:pt>
                <c:pt idx="2">
                  <c:v>115</c:v>
                </c:pt>
                <c:pt idx="3">
                  <c:v>0</c:v>
                </c:pt>
                <c:pt idx="4">
                  <c:v>19</c:v>
                </c:pt>
                <c:pt idx="5">
                  <c:v>561</c:v>
                </c:pt>
                <c:pt idx="6">
                  <c:v>20</c:v>
                </c:pt>
                <c:pt idx="7">
                  <c:v>0</c:v>
                </c:pt>
                <c:pt idx="8">
                  <c:v>0</c:v>
                </c:pt>
                <c:pt idx="9">
                  <c:v>0</c:v>
                </c:pt>
                <c:pt idx="10">
                  <c:v>189</c:v>
                </c:pt>
                <c:pt idx="11">
                  <c:v>581</c:v>
                </c:pt>
                <c:pt idx="12">
                  <c:v>0</c:v>
                </c:pt>
                <c:pt idx="13">
                  <c:v>29</c:v>
                </c:pt>
                <c:pt idx="14">
                  <c:v>0</c:v>
                </c:pt>
                <c:pt idx="15">
                  <c:v>0</c:v>
                </c:pt>
                <c:pt idx="16">
                  <c:v>14</c:v>
                </c:pt>
                <c:pt idx="17">
                  <c:v>0</c:v>
                </c:pt>
                <c:pt idx="18">
                  <c:v>10</c:v>
                </c:pt>
                <c:pt idx="19">
                  <c:v>3</c:v>
                </c:pt>
                <c:pt idx="20">
                  <c:v>6</c:v>
                </c:pt>
                <c:pt idx="21">
                  <c:v>4</c:v>
                </c:pt>
                <c:pt idx="22">
                  <c:v>11</c:v>
                </c:pt>
                <c:pt idx="23">
                  <c:v>22</c:v>
                </c:pt>
                <c:pt idx="24">
                  <c:v>31</c:v>
                </c:pt>
                <c:pt idx="25">
                  <c:v>0</c:v>
                </c:pt>
                <c:pt idx="26">
                  <c:v>0</c:v>
                </c:pt>
                <c:pt idx="27">
                  <c:v>2</c:v>
                </c:pt>
                <c:pt idx="28">
                  <c:v>18</c:v>
                </c:pt>
                <c:pt idx="29">
                  <c:v>162</c:v>
                </c:pt>
                <c:pt idx="30">
                  <c:v>300</c:v>
                </c:pt>
                <c:pt idx="31">
                  <c:v>0</c:v>
                </c:pt>
                <c:pt idx="32">
                  <c:v>28</c:v>
                </c:pt>
                <c:pt idx="33">
                  <c:v>0</c:v>
                </c:pt>
                <c:pt idx="34">
                  <c:v>15</c:v>
                </c:pt>
                <c:pt idx="35">
                  <c:v>0</c:v>
                </c:pt>
                <c:pt idx="36">
                  <c:v>173</c:v>
                </c:pt>
                <c:pt idx="37">
                  <c:v>218</c:v>
                </c:pt>
                <c:pt idx="38">
                  <c:v>0</c:v>
                </c:pt>
              </c:numCache>
            </c:numRef>
          </c:val>
          <c:extLst>
            <c:ext xmlns:c16="http://schemas.microsoft.com/office/drawing/2014/chart" uri="{C3380CC4-5D6E-409C-BE32-E72D297353CC}">
              <c16:uniqueId val="{00000000-3436-46A3-ACEF-4E8F61E3F688}"/>
            </c:ext>
          </c:extLst>
        </c:ser>
        <c:dLbls>
          <c:showLegendKey val="0"/>
          <c:showVal val="0"/>
          <c:showCatName val="0"/>
          <c:showSerName val="0"/>
          <c:showPercent val="0"/>
          <c:showBubbleSize val="0"/>
        </c:dLbls>
        <c:gapWidth val="219"/>
        <c:overlap val="-27"/>
        <c:axId val="372451184"/>
        <c:axId val="372452824"/>
      </c:barChart>
      <c:catAx>
        <c:axId val="3724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52824"/>
        <c:crosses val="autoZero"/>
        <c:auto val="1"/>
        <c:lblAlgn val="ctr"/>
        <c:lblOffset val="100"/>
        <c:noMultiLvlLbl val="0"/>
      </c:catAx>
      <c:valAx>
        <c:axId val="372452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51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171450</xdr:colOff>
      <xdr:row>18</xdr:row>
      <xdr:rowOff>47625</xdr:rowOff>
    </xdr:from>
    <xdr:to>
      <xdr:col>9</xdr:col>
      <xdr:colOff>257175</xdr:colOff>
      <xdr:row>32</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20</xdr:row>
      <xdr:rowOff>66675</xdr:rowOff>
    </xdr:from>
    <xdr:to>
      <xdr:col>19</xdr:col>
      <xdr:colOff>304800</xdr:colOff>
      <xdr:row>36</xdr:row>
      <xdr:rowOff>142875</xdr:rowOff>
    </xdr:to>
    <xdr:graphicFrame macro="">
      <xdr:nvGraphicFramePr>
        <xdr:cNvPr id="38" name="Chart 3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n.wikipedia.org/wiki/West_Fertilizer_Company_explosion"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n.wikipedia.org/wiki/List_of_ammonium_nitrate_disast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K16"/>
  <sheetViews>
    <sheetView workbookViewId="0">
      <selection activeCell="E19" sqref="E19"/>
    </sheetView>
  </sheetViews>
  <sheetFormatPr defaultRowHeight="15" x14ac:dyDescent="0.25"/>
  <cols>
    <col min="5" max="5" width="16.28515625" bestFit="1" customWidth="1"/>
    <col min="6" max="6" width="29.140625" bestFit="1" customWidth="1"/>
    <col min="8" max="8" width="13.28515625" bestFit="1" customWidth="1"/>
    <col min="9" max="9" width="54" bestFit="1" customWidth="1"/>
  </cols>
  <sheetData>
    <row r="1" spans="3:11" x14ac:dyDescent="0.25">
      <c r="D1" t="s">
        <v>5</v>
      </c>
      <c r="E1" t="s">
        <v>4</v>
      </c>
      <c r="F1" t="s">
        <v>6</v>
      </c>
      <c r="G1" t="s">
        <v>3</v>
      </c>
      <c r="H1" t="s">
        <v>152</v>
      </c>
    </row>
    <row r="2" spans="3:11" x14ac:dyDescent="0.25">
      <c r="C2" t="s">
        <v>0</v>
      </c>
      <c r="D2" t="s">
        <v>1</v>
      </c>
      <c r="E2" t="s">
        <v>1</v>
      </c>
      <c r="I2" t="s">
        <v>2</v>
      </c>
    </row>
    <row r="3" spans="3:11" x14ac:dyDescent="0.25">
      <c r="C3">
        <v>1947</v>
      </c>
      <c r="D3">
        <v>581</v>
      </c>
      <c r="E3">
        <v>600</v>
      </c>
      <c r="G3">
        <v>5000</v>
      </c>
      <c r="I3" s="2" t="s">
        <v>14</v>
      </c>
    </row>
    <row r="4" spans="3:11" x14ac:dyDescent="0.25">
      <c r="C4">
        <v>1974</v>
      </c>
      <c r="D4">
        <v>28</v>
      </c>
      <c r="E4">
        <v>28</v>
      </c>
      <c r="G4">
        <v>36</v>
      </c>
      <c r="I4" s="3" t="s">
        <v>150</v>
      </c>
    </row>
    <row r="5" spans="3:11" x14ac:dyDescent="0.25">
      <c r="C5">
        <v>1984</v>
      </c>
      <c r="D5">
        <f>SUM(E5:F5)</f>
        <v>6046</v>
      </c>
      <c r="E5">
        <v>2259</v>
      </c>
      <c r="F5" s="1">
        <v>3787</v>
      </c>
      <c r="G5" s="1">
        <v>500000</v>
      </c>
      <c r="H5" s="1"/>
      <c r="I5" s="2" t="s">
        <v>10</v>
      </c>
    </row>
    <row r="6" spans="3:11" x14ac:dyDescent="0.25">
      <c r="C6">
        <v>1984</v>
      </c>
      <c r="D6">
        <v>10000</v>
      </c>
      <c r="E6">
        <v>3000</v>
      </c>
      <c r="F6">
        <v>10000</v>
      </c>
      <c r="G6">
        <v>500000</v>
      </c>
      <c r="I6" s="4" t="s">
        <v>7</v>
      </c>
    </row>
    <row r="7" spans="3:11" x14ac:dyDescent="0.25">
      <c r="C7">
        <v>2005</v>
      </c>
      <c r="D7">
        <v>6</v>
      </c>
      <c r="G7">
        <v>70</v>
      </c>
      <c r="I7" s="5" t="s">
        <v>12</v>
      </c>
    </row>
    <row r="8" spans="3:11" x14ac:dyDescent="0.25">
      <c r="C8">
        <v>2010</v>
      </c>
      <c r="D8">
        <v>11</v>
      </c>
      <c r="G8">
        <v>17</v>
      </c>
      <c r="I8" s="6" t="s">
        <v>151</v>
      </c>
    </row>
    <row r="9" spans="3:11" x14ac:dyDescent="0.25">
      <c r="C9">
        <v>2015</v>
      </c>
      <c r="D9">
        <v>173</v>
      </c>
      <c r="G9">
        <v>798</v>
      </c>
      <c r="H9" t="s">
        <v>153</v>
      </c>
      <c r="I9" s="7" t="s">
        <v>8</v>
      </c>
    </row>
    <row r="10" spans="3:11" x14ac:dyDescent="0.25">
      <c r="C10">
        <v>2020</v>
      </c>
      <c r="D10">
        <v>218</v>
      </c>
      <c r="E10" t="s">
        <v>11</v>
      </c>
      <c r="G10">
        <v>7000</v>
      </c>
      <c r="I10" t="s">
        <v>9</v>
      </c>
    </row>
    <row r="11" spans="3:11" x14ac:dyDescent="0.25">
      <c r="C11">
        <v>1921</v>
      </c>
      <c r="D11">
        <v>560</v>
      </c>
      <c r="E11">
        <v>500</v>
      </c>
      <c r="F11">
        <v>6000</v>
      </c>
      <c r="G11">
        <v>2000</v>
      </c>
      <c r="I11" t="s">
        <v>13</v>
      </c>
    </row>
    <row r="12" spans="3:11" x14ac:dyDescent="0.25">
      <c r="C12">
        <v>2013</v>
      </c>
      <c r="D12">
        <v>15</v>
      </c>
      <c r="G12">
        <v>160</v>
      </c>
      <c r="I12" s="8" t="s">
        <v>15</v>
      </c>
    </row>
    <row r="13" spans="3:11" ht="29.25" thickBot="1" x14ac:dyDescent="0.3">
      <c r="D13" s="11" t="s">
        <v>156</v>
      </c>
      <c r="E13" s="13">
        <v>44203</v>
      </c>
      <c r="F13">
        <v>2021</v>
      </c>
      <c r="G13" s="11">
        <v>1</v>
      </c>
      <c r="H13">
        <f>F13</f>
        <v>2021</v>
      </c>
      <c r="I13">
        <v>4</v>
      </c>
      <c r="K13" s="12" t="s">
        <v>157</v>
      </c>
    </row>
    <row r="14" spans="3:11" ht="29.25" thickBot="1" x14ac:dyDescent="0.3">
      <c r="D14" s="11" t="s">
        <v>158</v>
      </c>
      <c r="E14" s="13">
        <v>44277</v>
      </c>
      <c r="F14">
        <v>2021</v>
      </c>
      <c r="G14" s="11">
        <v>2</v>
      </c>
      <c r="H14" s="14"/>
      <c r="K14" s="12" t="s">
        <v>159</v>
      </c>
    </row>
    <row r="15" spans="3:11" ht="43.5" thickBot="1" x14ac:dyDescent="0.3">
      <c r="D15" s="11" t="s">
        <v>160</v>
      </c>
      <c r="E15" s="13">
        <v>44383</v>
      </c>
      <c r="F15">
        <v>2021</v>
      </c>
      <c r="G15" s="11">
        <v>6</v>
      </c>
      <c r="H15" s="14"/>
      <c r="K15" s="12" t="s">
        <v>161</v>
      </c>
    </row>
    <row r="16" spans="3:11" ht="29.25" thickBot="1" x14ac:dyDescent="0.3">
      <c r="D16" s="11" t="s">
        <v>162</v>
      </c>
      <c r="E16" s="13">
        <v>44446</v>
      </c>
      <c r="F16">
        <v>2021</v>
      </c>
      <c r="G16" s="11">
        <v>0</v>
      </c>
      <c r="H16" s="14"/>
      <c r="K16" s="12" t="s">
        <v>163</v>
      </c>
    </row>
  </sheetData>
  <hyperlinks>
    <hyperlink ref="I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81"/>
  <sheetViews>
    <sheetView topLeftCell="A16" workbookViewId="0">
      <selection activeCell="G42" sqref="G42"/>
    </sheetView>
  </sheetViews>
  <sheetFormatPr defaultRowHeight="15" x14ac:dyDescent="0.25"/>
  <cols>
    <col min="3" max="3" width="18.42578125" bestFit="1" customWidth="1"/>
    <col min="4" max="4" width="29" bestFit="1" customWidth="1"/>
    <col min="5" max="5" width="18.5703125" style="16" bestFit="1" customWidth="1"/>
    <col min="6" max="6" width="18.5703125" customWidth="1"/>
    <col min="7" max="7" width="7.140625" bestFit="1" customWidth="1"/>
    <col min="8" max="8" width="7.140625" customWidth="1"/>
    <col min="9" max="9" width="11" bestFit="1" customWidth="1"/>
    <col min="10" max="10" width="11.7109375" bestFit="1" customWidth="1"/>
  </cols>
  <sheetData>
    <row r="1" spans="1:13" s="10" customFormat="1" x14ac:dyDescent="0.25">
      <c r="B1" s="10" t="s">
        <v>167</v>
      </c>
      <c r="C1" s="10" t="s">
        <v>16</v>
      </c>
      <c r="D1" s="10" t="s">
        <v>17</v>
      </c>
      <c r="E1" s="15" t="s">
        <v>18</v>
      </c>
      <c r="F1" s="10" t="s">
        <v>0</v>
      </c>
      <c r="G1" s="10" t="s">
        <v>19</v>
      </c>
      <c r="H1" s="10" t="s">
        <v>18</v>
      </c>
      <c r="I1" s="10" t="s">
        <v>155</v>
      </c>
      <c r="J1" s="10" t="s">
        <v>20</v>
      </c>
      <c r="K1" s="10" t="s">
        <v>21</v>
      </c>
      <c r="M1" s="8" t="s">
        <v>149</v>
      </c>
    </row>
    <row r="2" spans="1:13" x14ac:dyDescent="0.25">
      <c r="A2">
        <f>COUNTIF($C$2:$M$41,C2)</f>
        <v>15</v>
      </c>
      <c r="B2">
        <v>1</v>
      </c>
      <c r="C2" t="s">
        <v>22</v>
      </c>
      <c r="D2" t="s">
        <v>23</v>
      </c>
      <c r="E2" s="16" t="s">
        <v>24</v>
      </c>
      <c r="F2">
        <v>1916</v>
      </c>
      <c r="G2">
        <v>1</v>
      </c>
      <c r="H2">
        <v>1916</v>
      </c>
      <c r="I2">
        <v>3</v>
      </c>
      <c r="J2" t="s">
        <v>25</v>
      </c>
      <c r="K2" t="s">
        <v>26</v>
      </c>
    </row>
    <row r="3" spans="1:13" x14ac:dyDescent="0.25">
      <c r="B3">
        <v>2</v>
      </c>
      <c r="C3" t="s">
        <v>22</v>
      </c>
      <c r="D3" t="s">
        <v>27</v>
      </c>
      <c r="E3" s="16" t="s">
        <v>28</v>
      </c>
      <c r="F3">
        <v>1916</v>
      </c>
      <c r="G3">
        <v>6</v>
      </c>
      <c r="J3" t="s">
        <v>29</v>
      </c>
      <c r="K3" t="s">
        <v>124</v>
      </c>
    </row>
    <row r="4" spans="1:13" x14ac:dyDescent="0.25">
      <c r="A4">
        <f>COUNTIF($C$2:$M$41,C4)</f>
        <v>1</v>
      </c>
      <c r="B4">
        <v>3</v>
      </c>
      <c r="C4" t="s">
        <v>56</v>
      </c>
      <c r="D4" t="s">
        <v>57</v>
      </c>
      <c r="E4" s="16" t="s">
        <v>58</v>
      </c>
      <c r="F4">
        <v>1916</v>
      </c>
      <c r="G4">
        <v>115</v>
      </c>
      <c r="J4">
        <v>700</v>
      </c>
      <c r="K4" t="s">
        <v>135</v>
      </c>
    </row>
    <row r="5" spans="1:13" x14ac:dyDescent="0.25">
      <c r="B5">
        <v>4</v>
      </c>
      <c r="C5" t="s">
        <v>22</v>
      </c>
      <c r="D5" t="str">
        <f>N60</f>
        <v>Brooklyn, New York</v>
      </c>
      <c r="E5" s="16" t="s">
        <v>326</v>
      </c>
      <c r="F5">
        <v>1920</v>
      </c>
      <c r="G5">
        <v>0</v>
      </c>
      <c r="H5">
        <v>1920</v>
      </c>
      <c r="I5">
        <v>2</v>
      </c>
      <c r="J5" t="str">
        <f>U60</f>
        <v>1,919 / 882</v>
      </c>
      <c r="K5" t="str">
        <f>AF60</f>
        <v>Fire broke out on the steamer Hallfried while discharging cargo, which included 1,919 tonnes of AN in casks. Although the
fire was intense and 882 tonnes of the AN were destroyed, no explosion occurred.7s</v>
      </c>
    </row>
    <row r="6" spans="1:13" x14ac:dyDescent="0.25">
      <c r="A6">
        <f>COUNTIF($C$2:$M$41,C6)</f>
        <v>2</v>
      </c>
      <c r="B6">
        <v>5</v>
      </c>
      <c r="C6" t="s">
        <v>84</v>
      </c>
      <c r="D6" t="s">
        <v>85</v>
      </c>
      <c r="E6" s="16" t="s">
        <v>86</v>
      </c>
      <c r="F6">
        <v>1921</v>
      </c>
      <c r="G6">
        <v>19</v>
      </c>
      <c r="H6">
        <f>F6</f>
        <v>1921</v>
      </c>
      <c r="I6">
        <v>2</v>
      </c>
      <c r="J6">
        <v>30</v>
      </c>
      <c r="K6" t="s">
        <v>87</v>
      </c>
    </row>
    <row r="7" spans="1:13" x14ac:dyDescent="0.25">
      <c r="B7">
        <v>6</v>
      </c>
      <c r="C7" t="s">
        <v>84</v>
      </c>
      <c r="D7" t="s">
        <v>88</v>
      </c>
      <c r="E7" s="16" t="s">
        <v>89</v>
      </c>
      <c r="F7">
        <v>1921</v>
      </c>
      <c r="G7">
        <v>561</v>
      </c>
      <c r="J7">
        <v>450</v>
      </c>
      <c r="K7" t="s">
        <v>141</v>
      </c>
    </row>
    <row r="8" spans="1:13" x14ac:dyDescent="0.25">
      <c r="B8">
        <v>7</v>
      </c>
      <c r="C8" t="s">
        <v>22</v>
      </c>
      <c r="D8" t="s">
        <v>30</v>
      </c>
      <c r="E8" s="16" t="s">
        <v>31</v>
      </c>
      <c r="F8">
        <v>1924</v>
      </c>
      <c r="G8">
        <v>20</v>
      </c>
      <c r="H8">
        <f>F8</f>
        <v>1924</v>
      </c>
      <c r="I8">
        <v>1</v>
      </c>
      <c r="J8">
        <v>2</v>
      </c>
      <c r="K8" t="s">
        <v>125</v>
      </c>
    </row>
    <row r="9" spans="1:13" x14ac:dyDescent="0.25">
      <c r="B9">
        <v>8</v>
      </c>
      <c r="C9" t="s">
        <v>22</v>
      </c>
      <c r="D9" t="s">
        <v>32</v>
      </c>
      <c r="E9" s="16" t="s">
        <v>33</v>
      </c>
      <c r="F9">
        <v>1925</v>
      </c>
      <c r="G9">
        <v>0</v>
      </c>
      <c r="H9">
        <f>F9</f>
        <v>1925</v>
      </c>
      <c r="I9">
        <v>1</v>
      </c>
      <c r="K9" t="s">
        <v>126</v>
      </c>
    </row>
    <row r="10" spans="1:13" x14ac:dyDescent="0.25">
      <c r="B10">
        <v>9</v>
      </c>
      <c r="C10" t="s">
        <v>22</v>
      </c>
      <c r="D10" t="str">
        <f>N79</f>
        <v>Emporium, Pennsylvania</v>
      </c>
      <c r="E10" s="16" t="s">
        <v>331</v>
      </c>
      <c r="F10">
        <v>1925</v>
      </c>
      <c r="G10">
        <v>0</v>
      </c>
      <c r="I10">
        <v>1</v>
      </c>
      <c r="J10" t="str">
        <f>W79</f>
        <v>0.2</v>
      </c>
      <c r="K10" t="s">
        <v>330</v>
      </c>
    </row>
    <row r="11" spans="1:13" x14ac:dyDescent="0.25">
      <c r="A11">
        <f>COUNTIF($C$2:$M$41,C11)</f>
        <v>4</v>
      </c>
      <c r="B11">
        <v>10</v>
      </c>
      <c r="C11" t="s">
        <v>90</v>
      </c>
      <c r="D11" t="s">
        <v>91</v>
      </c>
      <c r="E11" s="16" t="s">
        <v>92</v>
      </c>
      <c r="F11">
        <v>1940</v>
      </c>
      <c r="G11">
        <v>0</v>
      </c>
      <c r="H11">
        <f>F11</f>
        <v>1940</v>
      </c>
      <c r="I11">
        <v>1</v>
      </c>
      <c r="J11">
        <v>240</v>
      </c>
      <c r="K11" t="s">
        <v>93</v>
      </c>
    </row>
    <row r="12" spans="1:13" x14ac:dyDescent="0.25">
      <c r="A12">
        <f>COUNTIF($C$2:$M$41,C12)</f>
        <v>1</v>
      </c>
      <c r="B12">
        <v>11</v>
      </c>
      <c r="C12" t="s">
        <v>115</v>
      </c>
      <c r="D12" t="s">
        <v>116</v>
      </c>
      <c r="E12" s="16" t="s">
        <v>117</v>
      </c>
      <c r="F12">
        <v>1942</v>
      </c>
      <c r="G12">
        <v>189</v>
      </c>
      <c r="H12">
        <f>F12</f>
        <v>1942</v>
      </c>
      <c r="I12">
        <v>1</v>
      </c>
      <c r="J12">
        <v>150</v>
      </c>
      <c r="K12" t="s">
        <v>118</v>
      </c>
    </row>
    <row r="13" spans="1:13" x14ac:dyDescent="0.25">
      <c r="B13">
        <v>12</v>
      </c>
      <c r="C13" t="s">
        <v>22</v>
      </c>
      <c r="D13" t="s">
        <v>34</v>
      </c>
      <c r="E13" s="16" t="s">
        <v>35</v>
      </c>
      <c r="F13">
        <v>1947</v>
      </c>
      <c r="G13">
        <v>581</v>
      </c>
      <c r="H13">
        <f>F13</f>
        <v>1947</v>
      </c>
      <c r="I13">
        <v>4</v>
      </c>
      <c r="J13" t="s">
        <v>154</v>
      </c>
      <c r="K13" t="s">
        <v>127</v>
      </c>
    </row>
    <row r="14" spans="1:13" x14ac:dyDescent="0.25">
      <c r="B14">
        <v>13</v>
      </c>
      <c r="C14" t="s">
        <v>22</v>
      </c>
      <c r="D14" t="s">
        <v>36</v>
      </c>
      <c r="E14" s="16" t="s">
        <v>37</v>
      </c>
      <c r="F14">
        <v>1947</v>
      </c>
      <c r="G14">
        <v>0</v>
      </c>
      <c r="J14">
        <v>217</v>
      </c>
      <c r="K14" t="s">
        <v>38</v>
      </c>
    </row>
    <row r="15" spans="1:13" x14ac:dyDescent="0.25">
      <c r="B15">
        <v>14</v>
      </c>
      <c r="C15" t="s">
        <v>90</v>
      </c>
      <c r="D15" t="s">
        <v>94</v>
      </c>
      <c r="E15" s="16" t="s">
        <v>95</v>
      </c>
      <c r="F15">
        <v>1947</v>
      </c>
      <c r="G15">
        <v>29</v>
      </c>
      <c r="J15" t="s">
        <v>96</v>
      </c>
      <c r="K15" t="s">
        <v>142</v>
      </c>
    </row>
    <row r="16" spans="1:13" s="17" customFormat="1" x14ac:dyDescent="0.25">
      <c r="A16">
        <f>COUNTIF($C$2:$M$41,C16)</f>
        <v>1</v>
      </c>
      <c r="B16">
        <v>15</v>
      </c>
      <c r="C16" s="17" t="s">
        <v>112</v>
      </c>
      <c r="D16" s="17" t="s">
        <v>113</v>
      </c>
      <c r="E16" s="16" t="s">
        <v>166</v>
      </c>
      <c r="F16" s="17">
        <v>1947</v>
      </c>
      <c r="G16" s="17">
        <v>0</v>
      </c>
      <c r="J16" s="17">
        <v>360</v>
      </c>
      <c r="K16" s="17" t="s">
        <v>114</v>
      </c>
    </row>
    <row r="17" spans="1:11" s="17" customFormat="1" x14ac:dyDescent="0.25">
      <c r="A17" s="17">
        <v>1</v>
      </c>
      <c r="B17">
        <v>16</v>
      </c>
      <c r="C17" s="17" t="s">
        <v>327</v>
      </c>
      <c r="D17" s="17" t="str">
        <f>N64</f>
        <v>Red Sea</v>
      </c>
      <c r="E17" s="16" t="s">
        <v>328</v>
      </c>
      <c r="F17" s="17">
        <v>1953</v>
      </c>
      <c r="G17" s="17">
        <v>0</v>
      </c>
      <c r="J17" s="17" t="s">
        <v>329</v>
      </c>
      <c r="K17" s="17" t="str">
        <f>AF63</f>
        <v>The Norwegian cargo ship Ocean Liberty was loaded with 3,309 tonnes of AN and various flammable products when it caught fire. Pumping pressured steam into the sealed hold did not stop the fire; the ship exploded while being towed from the
harbor.95•96</v>
      </c>
    </row>
    <row r="18" spans="1:11" x14ac:dyDescent="0.25">
      <c r="B18">
        <v>17</v>
      </c>
      <c r="C18" t="s">
        <v>22</v>
      </c>
      <c r="D18" t="s">
        <v>39</v>
      </c>
      <c r="E18" s="16" t="s">
        <v>40</v>
      </c>
      <c r="F18">
        <v>1959</v>
      </c>
      <c r="G18">
        <v>14</v>
      </c>
      <c r="H18">
        <f t="shared" ref="H18:H23" si="0">F18</f>
        <v>1959</v>
      </c>
      <c r="I18">
        <v>1</v>
      </c>
      <c r="J18" t="s">
        <v>41</v>
      </c>
      <c r="K18" t="s">
        <v>128</v>
      </c>
    </row>
    <row r="19" spans="1:11" x14ac:dyDescent="0.25">
      <c r="B19">
        <v>18</v>
      </c>
      <c r="C19" t="s">
        <v>22</v>
      </c>
      <c r="D19" t="s">
        <v>42</v>
      </c>
      <c r="E19" s="16" t="s">
        <v>43</v>
      </c>
      <c r="F19">
        <v>1960</v>
      </c>
      <c r="G19">
        <v>0</v>
      </c>
      <c r="H19">
        <f t="shared" si="0"/>
        <v>1960</v>
      </c>
      <c r="I19">
        <v>1</v>
      </c>
      <c r="J19" t="s">
        <v>44</v>
      </c>
      <c r="K19" t="s">
        <v>129</v>
      </c>
    </row>
    <row r="20" spans="1:11" x14ac:dyDescent="0.25">
      <c r="A20">
        <f>COUNTIF($C$2:$M$41,C20)</f>
        <v>1</v>
      </c>
      <c r="B20">
        <v>19</v>
      </c>
      <c r="C20" t="s">
        <v>103</v>
      </c>
      <c r="D20" t="s">
        <v>104</v>
      </c>
      <c r="E20" s="16" t="s">
        <v>105</v>
      </c>
      <c r="F20">
        <v>1963</v>
      </c>
      <c r="G20">
        <v>10</v>
      </c>
      <c r="H20">
        <f t="shared" si="0"/>
        <v>1963</v>
      </c>
      <c r="I20">
        <v>1</v>
      </c>
      <c r="J20">
        <v>10</v>
      </c>
      <c r="K20" t="s">
        <v>106</v>
      </c>
    </row>
    <row r="21" spans="1:11" x14ac:dyDescent="0.25">
      <c r="A21">
        <f>COUNTIF($C$2:$M$41,C21)</f>
        <v>2</v>
      </c>
      <c r="B21">
        <v>20</v>
      </c>
      <c r="C21" t="s">
        <v>119</v>
      </c>
      <c r="D21" t="s">
        <v>120</v>
      </c>
      <c r="E21" s="16" t="s">
        <v>121</v>
      </c>
      <c r="F21">
        <v>1972</v>
      </c>
      <c r="G21">
        <v>3</v>
      </c>
      <c r="H21">
        <f t="shared" si="0"/>
        <v>1972</v>
      </c>
      <c r="I21">
        <v>1</v>
      </c>
      <c r="J21">
        <v>12</v>
      </c>
      <c r="K21" t="s">
        <v>147</v>
      </c>
    </row>
    <row r="22" spans="1:11" x14ac:dyDescent="0.25">
      <c r="B22">
        <v>21</v>
      </c>
      <c r="C22" t="s">
        <v>22</v>
      </c>
      <c r="D22" t="s">
        <v>45</v>
      </c>
      <c r="E22" s="16" t="s">
        <v>46</v>
      </c>
      <c r="F22">
        <v>1988</v>
      </c>
      <c r="G22">
        <v>6</v>
      </c>
      <c r="H22">
        <f t="shared" si="0"/>
        <v>1988</v>
      </c>
      <c r="I22">
        <v>1</v>
      </c>
      <c r="J22" t="s">
        <v>47</v>
      </c>
      <c r="K22" t="s">
        <v>130</v>
      </c>
    </row>
    <row r="23" spans="1:11" x14ac:dyDescent="0.25">
      <c r="B23">
        <v>22</v>
      </c>
      <c r="C23" t="s">
        <v>22</v>
      </c>
      <c r="D23" t="s">
        <v>48</v>
      </c>
      <c r="E23" s="16" t="s">
        <v>49</v>
      </c>
      <c r="F23">
        <v>1994</v>
      </c>
      <c r="G23">
        <v>4</v>
      </c>
      <c r="H23">
        <f t="shared" si="0"/>
        <v>1994</v>
      </c>
      <c r="I23">
        <v>2</v>
      </c>
      <c r="K23" t="s">
        <v>131</v>
      </c>
    </row>
    <row r="24" spans="1:11" x14ac:dyDescent="0.25">
      <c r="A24">
        <f>COUNTIF($C$2:$M$41,C24)</f>
        <v>1</v>
      </c>
      <c r="B24">
        <v>23</v>
      </c>
      <c r="C24" t="s">
        <v>70</v>
      </c>
      <c r="D24" t="s">
        <v>71</v>
      </c>
      <c r="E24" s="16" t="s">
        <v>72</v>
      </c>
      <c r="F24">
        <v>1994</v>
      </c>
      <c r="G24">
        <v>11</v>
      </c>
      <c r="J24" t="s">
        <v>73</v>
      </c>
      <c r="K24" t="s">
        <v>137</v>
      </c>
    </row>
    <row r="25" spans="1:11" x14ac:dyDescent="0.25">
      <c r="A25">
        <f>COUNTIF($C$2:$M$41,C25)</f>
        <v>2</v>
      </c>
      <c r="B25">
        <v>24</v>
      </c>
      <c r="C25" t="s">
        <v>107</v>
      </c>
      <c r="D25" t="s">
        <v>144</v>
      </c>
      <c r="E25" s="16" t="s">
        <v>108</v>
      </c>
      <c r="F25">
        <v>1998</v>
      </c>
      <c r="G25">
        <v>22</v>
      </c>
      <c r="H25">
        <f>F25</f>
        <v>1998</v>
      </c>
      <c r="I25">
        <v>1</v>
      </c>
      <c r="J25" t="s">
        <v>109</v>
      </c>
      <c r="K25" t="s">
        <v>145</v>
      </c>
    </row>
    <row r="26" spans="1:11" x14ac:dyDescent="0.25">
      <c r="B26">
        <v>25</v>
      </c>
      <c r="C26" t="s">
        <v>90</v>
      </c>
      <c r="D26" t="s">
        <v>97</v>
      </c>
      <c r="E26" s="16" t="s">
        <v>98</v>
      </c>
      <c r="F26">
        <v>2001</v>
      </c>
      <c r="G26">
        <v>31</v>
      </c>
      <c r="H26">
        <f>F26</f>
        <v>2001</v>
      </c>
      <c r="I26">
        <v>1</v>
      </c>
      <c r="J26" t="s">
        <v>99</v>
      </c>
      <c r="K26" t="s">
        <v>143</v>
      </c>
    </row>
    <row r="27" spans="1:11" x14ac:dyDescent="0.25">
      <c r="A27">
        <f>COUNTIF($C$2:$M$41,C27)</f>
        <v>3</v>
      </c>
      <c r="B27">
        <v>26</v>
      </c>
      <c r="C27" t="s">
        <v>59</v>
      </c>
      <c r="D27" t="s">
        <v>60</v>
      </c>
      <c r="E27" s="16" t="s">
        <v>164</v>
      </c>
      <c r="F27">
        <v>2003</v>
      </c>
      <c r="G27">
        <v>0</v>
      </c>
      <c r="H27">
        <f>F27</f>
        <v>2003</v>
      </c>
      <c r="I27">
        <v>2</v>
      </c>
      <c r="K27" t="s">
        <v>61</v>
      </c>
    </row>
    <row r="28" spans="1:11" x14ac:dyDescent="0.25">
      <c r="B28">
        <v>27</v>
      </c>
      <c r="C28" t="s">
        <v>90</v>
      </c>
      <c r="D28" t="s">
        <v>100</v>
      </c>
      <c r="E28" s="16" t="s">
        <v>101</v>
      </c>
      <c r="F28">
        <v>2003</v>
      </c>
      <c r="G28">
        <v>0</v>
      </c>
      <c r="J28" s="9">
        <v>44684</v>
      </c>
      <c r="K28" t="s">
        <v>102</v>
      </c>
    </row>
    <row r="29" spans="1:11" x14ac:dyDescent="0.25">
      <c r="B29">
        <v>28</v>
      </c>
      <c r="C29" t="s">
        <v>59</v>
      </c>
      <c r="D29" t="s">
        <v>62</v>
      </c>
      <c r="E29" s="16" t="s">
        <v>63</v>
      </c>
      <c r="F29">
        <v>2004</v>
      </c>
      <c r="G29">
        <v>2</v>
      </c>
      <c r="H29">
        <f>F29</f>
        <v>2004</v>
      </c>
      <c r="I29">
        <v>4</v>
      </c>
      <c r="J29">
        <v>25</v>
      </c>
      <c r="K29" t="s">
        <v>64</v>
      </c>
    </row>
    <row r="30" spans="1:11" x14ac:dyDescent="0.25">
      <c r="A30">
        <f>COUNTIF($C$2:$M$41,C30)</f>
        <v>1</v>
      </c>
      <c r="B30">
        <v>29</v>
      </c>
      <c r="C30" t="s">
        <v>66</v>
      </c>
      <c r="D30" t="s">
        <v>67</v>
      </c>
      <c r="E30" s="16" t="s">
        <v>68</v>
      </c>
      <c r="F30">
        <v>2004</v>
      </c>
      <c r="G30">
        <v>18</v>
      </c>
      <c r="J30">
        <v>20</v>
      </c>
      <c r="K30" t="s">
        <v>69</v>
      </c>
    </row>
    <row r="31" spans="1:11" x14ac:dyDescent="0.25">
      <c r="A31">
        <f>COUNTIF($C$2:$M$41,C31)</f>
        <v>1</v>
      </c>
      <c r="B31">
        <v>30</v>
      </c>
      <c r="C31" t="s">
        <v>74</v>
      </c>
      <c r="D31" t="s">
        <v>75</v>
      </c>
      <c r="E31" s="16" t="s">
        <v>76</v>
      </c>
      <c r="F31">
        <v>2004</v>
      </c>
      <c r="G31">
        <v>162</v>
      </c>
      <c r="K31" t="s">
        <v>138</v>
      </c>
    </row>
    <row r="32" spans="1:11" x14ac:dyDescent="0.25">
      <c r="A32">
        <f>COUNTIF($C$2:$M$41,C32)</f>
        <v>1</v>
      </c>
      <c r="B32">
        <v>31</v>
      </c>
      <c r="C32" t="s">
        <v>332</v>
      </c>
      <c r="D32" t="str">
        <f>N68</f>
        <v>Neyshabur</v>
      </c>
      <c r="E32" s="16" t="s">
        <v>343</v>
      </c>
      <c r="F32">
        <v>2004</v>
      </c>
      <c r="G32">
        <v>300</v>
      </c>
      <c r="J32" s="18">
        <f>U68</f>
        <v>399</v>
      </c>
      <c r="K32" t="str">
        <f>AF68</f>
        <v>A train carrying sulfur, AN, cotton, and oil derailed and exploded, killing 300 people,_02,103</v>
      </c>
    </row>
    <row r="33" spans="1:39" x14ac:dyDescent="0.25">
      <c r="B33">
        <v>32</v>
      </c>
      <c r="C33" t="s">
        <v>59</v>
      </c>
      <c r="D33" t="s">
        <v>65</v>
      </c>
      <c r="E33" s="16" t="s">
        <v>165</v>
      </c>
      <c r="F33">
        <v>2007</v>
      </c>
      <c r="G33">
        <v>0</v>
      </c>
      <c r="H33">
        <f>F33</f>
        <v>2007</v>
      </c>
      <c r="I33">
        <v>2</v>
      </c>
      <c r="J33">
        <v>400</v>
      </c>
      <c r="K33" t="s">
        <v>136</v>
      </c>
    </row>
    <row r="34" spans="1:39" x14ac:dyDescent="0.25">
      <c r="A34">
        <f>COUNTIF($C$2:$M$41,C34)</f>
        <v>1</v>
      </c>
      <c r="B34">
        <v>33</v>
      </c>
      <c r="C34" t="s">
        <v>77</v>
      </c>
      <c r="D34" t="s">
        <v>78</v>
      </c>
      <c r="E34" s="16" t="s">
        <v>79</v>
      </c>
      <c r="F34">
        <v>2007</v>
      </c>
      <c r="G34">
        <v>28</v>
      </c>
      <c r="J34" t="s">
        <v>80</v>
      </c>
      <c r="K34" t="s">
        <v>139</v>
      </c>
    </row>
    <row r="35" spans="1:39" x14ac:dyDescent="0.25">
      <c r="B35">
        <v>34</v>
      </c>
      <c r="C35" t="s">
        <v>22</v>
      </c>
      <c r="D35" t="s">
        <v>50</v>
      </c>
      <c r="E35" s="16" t="s">
        <v>51</v>
      </c>
      <c r="F35">
        <v>2009</v>
      </c>
      <c r="G35">
        <v>0</v>
      </c>
      <c r="H35">
        <f t="shared" ref="H35:H40" si="1">F35</f>
        <v>2009</v>
      </c>
      <c r="I35">
        <v>1</v>
      </c>
      <c r="K35" t="s">
        <v>132</v>
      </c>
    </row>
    <row r="36" spans="1:39" x14ac:dyDescent="0.25">
      <c r="B36">
        <v>35</v>
      </c>
      <c r="C36" t="s">
        <v>22</v>
      </c>
      <c r="D36" t="s">
        <v>52</v>
      </c>
      <c r="E36" s="16" t="s">
        <v>53</v>
      </c>
      <c r="F36">
        <v>2013</v>
      </c>
      <c r="G36">
        <v>15</v>
      </c>
      <c r="H36">
        <f t="shared" si="1"/>
        <v>2013</v>
      </c>
      <c r="I36">
        <v>1</v>
      </c>
      <c r="J36">
        <v>240</v>
      </c>
      <c r="K36" t="s">
        <v>133</v>
      </c>
    </row>
    <row r="37" spans="1:39" x14ac:dyDescent="0.25">
      <c r="B37">
        <v>36</v>
      </c>
      <c r="C37" t="s">
        <v>119</v>
      </c>
      <c r="D37" t="s">
        <v>122</v>
      </c>
      <c r="E37" s="16" t="s">
        <v>123</v>
      </c>
      <c r="F37">
        <v>2014</v>
      </c>
      <c r="G37">
        <v>0</v>
      </c>
      <c r="H37">
        <f t="shared" si="1"/>
        <v>2014</v>
      </c>
      <c r="I37">
        <v>1</v>
      </c>
      <c r="J37">
        <v>56</v>
      </c>
      <c r="K37" t="s">
        <v>148</v>
      </c>
    </row>
    <row r="38" spans="1:39" x14ac:dyDescent="0.25">
      <c r="B38">
        <v>37</v>
      </c>
      <c r="C38" t="s">
        <v>107</v>
      </c>
      <c r="D38" t="s">
        <v>110</v>
      </c>
      <c r="E38" s="16" t="s">
        <v>111</v>
      </c>
      <c r="F38">
        <v>2015</v>
      </c>
      <c r="G38">
        <v>173</v>
      </c>
      <c r="H38">
        <f t="shared" si="1"/>
        <v>2015</v>
      </c>
      <c r="I38">
        <v>1</v>
      </c>
      <c r="J38">
        <v>800</v>
      </c>
      <c r="K38" t="s">
        <v>146</v>
      </c>
    </row>
    <row r="39" spans="1:39" x14ac:dyDescent="0.25">
      <c r="A39">
        <f>COUNTIF($C$2:$M$41,C39)</f>
        <v>1</v>
      </c>
      <c r="B39">
        <v>38</v>
      </c>
      <c r="C39" t="s">
        <v>81</v>
      </c>
      <c r="D39" t="s">
        <v>82</v>
      </c>
      <c r="E39" s="16" t="s">
        <v>83</v>
      </c>
      <c r="F39">
        <v>2020</v>
      </c>
      <c r="G39">
        <v>218</v>
      </c>
      <c r="H39">
        <f t="shared" si="1"/>
        <v>2020</v>
      </c>
      <c r="I39">
        <v>1</v>
      </c>
      <c r="J39">
        <v>2.75</v>
      </c>
      <c r="K39" t="s">
        <v>140</v>
      </c>
    </row>
    <row r="40" spans="1:39" x14ac:dyDescent="0.25">
      <c r="B40">
        <v>39</v>
      </c>
      <c r="C40" t="s">
        <v>22</v>
      </c>
      <c r="D40" t="s">
        <v>54</v>
      </c>
      <c r="E40" s="16" t="s">
        <v>55</v>
      </c>
      <c r="F40">
        <v>2022</v>
      </c>
      <c r="G40">
        <v>0</v>
      </c>
      <c r="H40">
        <f t="shared" si="1"/>
        <v>2022</v>
      </c>
      <c r="I40">
        <v>1</v>
      </c>
      <c r="K40" t="s">
        <v>134</v>
      </c>
    </row>
    <row r="41" spans="1:39" x14ac:dyDescent="0.25">
      <c r="G41">
        <f>SUM(G2:G40)</f>
        <v>2538</v>
      </c>
    </row>
    <row r="43" spans="1:39" x14ac:dyDescent="0.25">
      <c r="A43">
        <f>COUNTIF($C$42:$M$81,G43)</f>
        <v>1</v>
      </c>
      <c r="B43">
        <v>1</v>
      </c>
      <c r="C43" s="34" t="s">
        <v>168</v>
      </c>
      <c r="D43" s="35"/>
      <c r="E43" s="35"/>
      <c r="F43" s="36"/>
      <c r="G43" s="19" t="s">
        <v>169</v>
      </c>
      <c r="H43" s="20"/>
      <c r="I43" s="20"/>
      <c r="J43" s="20"/>
      <c r="K43" s="20"/>
      <c r="L43" s="20"/>
      <c r="M43" s="21"/>
      <c r="N43" s="19" t="s">
        <v>170</v>
      </c>
      <c r="O43" s="20"/>
      <c r="P43" s="20"/>
      <c r="Q43" s="21"/>
      <c r="R43" s="37">
        <v>115</v>
      </c>
      <c r="S43" s="38"/>
      <c r="T43" s="39"/>
      <c r="U43" s="37">
        <v>630</v>
      </c>
      <c r="V43" s="38"/>
      <c r="W43" s="38"/>
      <c r="X43" s="38"/>
      <c r="Y43" s="38"/>
      <c r="Z43" s="38"/>
      <c r="AA43" s="39"/>
      <c r="AB43" s="19" t="s">
        <v>171</v>
      </c>
      <c r="AC43" s="20"/>
      <c r="AD43" s="20"/>
      <c r="AE43" s="21"/>
      <c r="AF43" s="19" t="s">
        <v>172</v>
      </c>
      <c r="AG43" s="20"/>
      <c r="AH43" s="20"/>
      <c r="AI43" s="20"/>
      <c r="AJ43" s="20"/>
      <c r="AK43" s="20"/>
      <c r="AL43" s="20"/>
      <c r="AM43" s="21"/>
    </row>
    <row r="44" spans="1:39" x14ac:dyDescent="0.25">
      <c r="A44">
        <f>COUNTIF($C$42:$M$81,G44)</f>
        <v>15</v>
      </c>
      <c r="B44">
        <v>2</v>
      </c>
      <c r="C44" s="22" t="s">
        <v>173</v>
      </c>
      <c r="D44" s="23"/>
      <c r="E44" s="23"/>
      <c r="F44" s="24"/>
      <c r="G44" s="25" t="s">
        <v>174</v>
      </c>
      <c r="H44" s="26"/>
      <c r="I44" s="26"/>
      <c r="J44" s="26"/>
      <c r="K44" s="26"/>
      <c r="L44" s="26"/>
      <c r="M44" s="27"/>
      <c r="N44" s="25" t="s">
        <v>175</v>
      </c>
      <c r="O44" s="26"/>
      <c r="P44" s="26"/>
      <c r="Q44" s="27"/>
      <c r="R44" s="28">
        <v>20</v>
      </c>
      <c r="S44" s="29"/>
      <c r="T44" s="30"/>
      <c r="U44" s="28">
        <v>2</v>
      </c>
      <c r="V44" s="29"/>
      <c r="W44" s="29"/>
      <c r="X44" s="29"/>
      <c r="Y44" s="29"/>
      <c r="Z44" s="29"/>
      <c r="AA44" s="30"/>
      <c r="AB44" s="25" t="s">
        <v>171</v>
      </c>
      <c r="AC44" s="26"/>
      <c r="AD44" s="26"/>
      <c r="AE44" s="27"/>
      <c r="AF44" s="31" t="s">
        <v>176</v>
      </c>
      <c r="AG44" s="32"/>
      <c r="AH44" s="32"/>
      <c r="AI44" s="32"/>
      <c r="AJ44" s="32"/>
      <c r="AK44" s="32"/>
      <c r="AL44" s="32"/>
      <c r="AM44" s="33"/>
    </row>
    <row r="45" spans="1:39" x14ac:dyDescent="0.25">
      <c r="A45">
        <f>COUNTIF($C$42:$M$81,G45)</f>
        <v>4</v>
      </c>
      <c r="B45">
        <v>3</v>
      </c>
      <c r="C45" s="34" t="s">
        <v>177</v>
      </c>
      <c r="D45" s="35"/>
      <c r="E45" s="35"/>
      <c r="F45" s="36"/>
      <c r="G45" s="46" t="s">
        <v>178</v>
      </c>
      <c r="H45" s="47"/>
      <c r="I45" s="47"/>
      <c r="J45" s="47"/>
      <c r="K45" s="47"/>
      <c r="L45" s="47"/>
      <c r="M45" s="48"/>
      <c r="N45" s="46" t="s">
        <v>179</v>
      </c>
      <c r="O45" s="47"/>
      <c r="P45" s="47"/>
      <c r="Q45" s="48"/>
      <c r="R45" s="49">
        <v>0</v>
      </c>
      <c r="S45" s="50"/>
      <c r="T45" s="51"/>
      <c r="U45" s="49">
        <v>240</v>
      </c>
      <c r="V45" s="50"/>
      <c r="W45" s="50"/>
      <c r="X45" s="50"/>
      <c r="Y45" s="50"/>
      <c r="Z45" s="50"/>
      <c r="AA45" s="51"/>
      <c r="AB45" s="19" t="s">
        <v>180</v>
      </c>
      <c r="AC45" s="20"/>
      <c r="AD45" s="20"/>
      <c r="AE45" s="21"/>
      <c r="AF45" s="19" t="s">
        <v>181</v>
      </c>
      <c r="AG45" s="20"/>
      <c r="AH45" s="20"/>
      <c r="AI45" s="20"/>
      <c r="AJ45" s="20"/>
      <c r="AK45" s="20"/>
      <c r="AL45" s="20"/>
      <c r="AM45" s="21"/>
    </row>
    <row r="46" spans="1:39" x14ac:dyDescent="0.25">
      <c r="B46">
        <v>4</v>
      </c>
      <c r="C46" s="40" t="s">
        <v>182</v>
      </c>
      <c r="D46" s="41"/>
      <c r="E46" s="41"/>
      <c r="F46" s="42"/>
      <c r="G46" s="43" t="s">
        <v>174</v>
      </c>
      <c r="H46" s="44"/>
      <c r="I46" s="44"/>
      <c r="J46" s="44"/>
      <c r="K46" s="44"/>
      <c r="L46" s="44"/>
      <c r="M46" s="45"/>
      <c r="N46" s="43" t="s">
        <v>183</v>
      </c>
      <c r="O46" s="44"/>
      <c r="P46" s="44"/>
      <c r="Q46" s="45"/>
      <c r="R46" s="28">
        <v>0</v>
      </c>
      <c r="S46" s="29"/>
      <c r="T46" s="30"/>
      <c r="U46" s="28">
        <v>220</v>
      </c>
      <c r="V46" s="29"/>
      <c r="W46" s="29"/>
      <c r="X46" s="29"/>
      <c r="Y46" s="29"/>
      <c r="Z46" s="29"/>
      <c r="AA46" s="30"/>
      <c r="AB46" s="25" t="s">
        <v>171</v>
      </c>
      <c r="AC46" s="26"/>
      <c r="AD46" s="26"/>
      <c r="AE46" s="27"/>
      <c r="AF46" s="31" t="s">
        <v>184</v>
      </c>
      <c r="AG46" s="32"/>
      <c r="AH46" s="32"/>
      <c r="AI46" s="32"/>
      <c r="AJ46" s="32"/>
      <c r="AK46" s="32"/>
      <c r="AL46" s="32"/>
      <c r="AM46" s="33"/>
    </row>
    <row r="47" spans="1:39" x14ac:dyDescent="0.25">
      <c r="A47">
        <f>COUNTIF($C$42:$M$81,G47)</f>
        <v>1</v>
      </c>
      <c r="B47">
        <v>5</v>
      </c>
      <c r="C47" s="55">
        <v>17168</v>
      </c>
      <c r="D47" s="56"/>
      <c r="E47" s="56"/>
      <c r="F47" s="57"/>
      <c r="G47" s="46" t="s">
        <v>185</v>
      </c>
      <c r="H47" s="47"/>
      <c r="I47" s="47"/>
      <c r="J47" s="47"/>
      <c r="K47" s="47"/>
      <c r="L47" s="47"/>
      <c r="M47" s="48"/>
      <c r="N47" s="46" t="s">
        <v>186</v>
      </c>
      <c r="O47" s="47"/>
      <c r="P47" s="47"/>
      <c r="Q47" s="48"/>
      <c r="R47" s="49">
        <v>0</v>
      </c>
      <c r="S47" s="50"/>
      <c r="T47" s="51"/>
      <c r="U47" s="49">
        <v>360</v>
      </c>
      <c r="V47" s="50"/>
      <c r="W47" s="50"/>
      <c r="X47" s="50"/>
      <c r="Y47" s="50"/>
      <c r="Z47" s="50"/>
      <c r="AA47" s="51"/>
      <c r="AB47" s="46" t="s">
        <v>187</v>
      </c>
      <c r="AC47" s="47"/>
      <c r="AD47" s="47"/>
      <c r="AE47" s="48"/>
      <c r="AF47" s="52" t="s">
        <v>188</v>
      </c>
      <c r="AG47" s="53"/>
      <c r="AH47" s="53"/>
      <c r="AI47" s="53"/>
      <c r="AJ47" s="53"/>
      <c r="AK47" s="53"/>
      <c r="AL47" s="53"/>
      <c r="AM47" s="54"/>
    </row>
    <row r="48" spans="1:39" x14ac:dyDescent="0.25">
      <c r="A48">
        <f>COUNTIF($C$42:$M$81,G48)</f>
        <v>1</v>
      </c>
      <c r="B48">
        <v>6</v>
      </c>
      <c r="C48" s="22" t="s">
        <v>189</v>
      </c>
      <c r="D48" s="23"/>
      <c r="E48" s="23"/>
      <c r="F48" s="24"/>
      <c r="G48" s="25" t="s">
        <v>190</v>
      </c>
      <c r="H48" s="26"/>
      <c r="I48" s="26"/>
      <c r="J48" s="26"/>
      <c r="K48" s="26"/>
      <c r="L48" s="26"/>
      <c r="M48" s="27"/>
      <c r="N48" s="25" t="s">
        <v>191</v>
      </c>
      <c r="O48" s="26"/>
      <c r="P48" s="26"/>
      <c r="Q48" s="27"/>
      <c r="R48" s="28">
        <v>10</v>
      </c>
      <c r="S48" s="29"/>
      <c r="T48" s="30"/>
      <c r="U48" s="28">
        <v>10</v>
      </c>
      <c r="V48" s="29"/>
      <c r="W48" s="29"/>
      <c r="X48" s="29"/>
      <c r="Y48" s="29"/>
      <c r="Z48" s="29"/>
      <c r="AA48" s="30"/>
      <c r="AB48" s="25" t="s">
        <v>171</v>
      </c>
      <c r="AC48" s="26"/>
      <c r="AD48" s="26"/>
      <c r="AE48" s="27"/>
      <c r="AF48" s="31" t="s">
        <v>192</v>
      </c>
      <c r="AG48" s="32"/>
      <c r="AH48" s="32"/>
      <c r="AI48" s="32"/>
      <c r="AJ48" s="32"/>
      <c r="AK48" s="32"/>
      <c r="AL48" s="32"/>
      <c r="AM48" s="33"/>
    </row>
    <row r="49" spans="1:39" x14ac:dyDescent="0.25">
      <c r="B49">
        <v>7</v>
      </c>
      <c r="C49" s="58" t="s">
        <v>193</v>
      </c>
      <c r="D49" s="59"/>
      <c r="E49" s="59"/>
      <c r="F49" s="60"/>
      <c r="G49" s="46" t="s">
        <v>174</v>
      </c>
      <c r="H49" s="47"/>
      <c r="I49" s="47"/>
      <c r="J49" s="47"/>
      <c r="K49" s="47"/>
      <c r="L49" s="47"/>
      <c r="M49" s="48"/>
      <c r="N49" s="46" t="s">
        <v>194</v>
      </c>
      <c r="O49" s="47"/>
      <c r="P49" s="47"/>
      <c r="Q49" s="48"/>
      <c r="R49" s="49">
        <v>6</v>
      </c>
      <c r="S49" s="50"/>
      <c r="T49" s="51"/>
      <c r="U49" s="46" t="s">
        <v>195</v>
      </c>
      <c r="V49" s="47"/>
      <c r="W49" s="47"/>
      <c r="X49" s="47"/>
      <c r="Y49" s="47"/>
      <c r="Z49" s="47"/>
      <c r="AA49" s="48"/>
      <c r="AB49" s="46" t="s">
        <v>196</v>
      </c>
      <c r="AC49" s="47"/>
      <c r="AD49" s="47"/>
      <c r="AE49" s="48"/>
      <c r="AF49" s="19" t="s">
        <v>197</v>
      </c>
      <c r="AG49" s="20"/>
      <c r="AH49" s="20"/>
      <c r="AI49" s="20"/>
      <c r="AJ49" s="20"/>
      <c r="AK49" s="20"/>
      <c r="AL49" s="20"/>
      <c r="AM49" s="21"/>
    </row>
    <row r="50" spans="1:39" x14ac:dyDescent="0.25">
      <c r="A50">
        <f>COUNTIF($C$42:$M$81,G50)</f>
        <v>1</v>
      </c>
      <c r="B50">
        <v>8</v>
      </c>
      <c r="C50" s="22" t="s">
        <v>198</v>
      </c>
      <c r="D50" s="23"/>
      <c r="E50" s="23"/>
      <c r="F50" s="24"/>
      <c r="G50" s="25" t="s">
        <v>199</v>
      </c>
      <c r="H50" s="26"/>
      <c r="I50" s="26"/>
      <c r="J50" s="26"/>
      <c r="K50" s="26"/>
      <c r="L50" s="26"/>
      <c r="M50" s="27"/>
      <c r="N50" s="25" t="s">
        <v>200</v>
      </c>
      <c r="O50" s="26"/>
      <c r="P50" s="26"/>
      <c r="Q50" s="27"/>
      <c r="R50" s="28">
        <v>11</v>
      </c>
      <c r="S50" s="29"/>
      <c r="T50" s="30"/>
      <c r="U50" s="25" t="s">
        <v>201</v>
      </c>
      <c r="V50" s="26"/>
      <c r="W50" s="26"/>
      <c r="X50" s="26"/>
      <c r="Y50" s="26"/>
      <c r="Z50" s="26"/>
      <c r="AA50" s="27"/>
      <c r="AB50" s="25" t="s">
        <v>187</v>
      </c>
      <c r="AC50" s="26"/>
      <c r="AD50" s="26"/>
      <c r="AE50" s="27"/>
      <c r="AF50" s="31" t="s">
        <v>202</v>
      </c>
      <c r="AG50" s="32"/>
      <c r="AH50" s="32"/>
      <c r="AI50" s="32"/>
      <c r="AJ50" s="32"/>
      <c r="AK50" s="32"/>
      <c r="AL50" s="32"/>
      <c r="AM50" s="33"/>
    </row>
    <row r="51" spans="1:39" x14ac:dyDescent="0.25">
      <c r="B51">
        <v>9</v>
      </c>
      <c r="C51" s="58" t="s">
        <v>203</v>
      </c>
      <c r="D51" s="59"/>
      <c r="E51" s="59"/>
      <c r="F51" s="60"/>
      <c r="G51" s="46" t="s">
        <v>174</v>
      </c>
      <c r="H51" s="47"/>
      <c r="I51" s="47"/>
      <c r="J51" s="47"/>
      <c r="K51" s="47"/>
      <c r="L51" s="47"/>
      <c r="M51" s="48"/>
      <c r="N51" s="46" t="s">
        <v>204</v>
      </c>
      <c r="O51" s="47"/>
      <c r="P51" s="47"/>
      <c r="Q51" s="48"/>
      <c r="R51" s="49">
        <v>4</v>
      </c>
      <c r="S51" s="50"/>
      <c r="T51" s="51"/>
      <c r="U51" s="67" t="s">
        <v>205</v>
      </c>
      <c r="V51" s="68"/>
      <c r="W51" s="68"/>
      <c r="X51" s="68"/>
      <c r="Y51" s="68"/>
      <c r="Z51" s="68"/>
      <c r="AA51" s="69"/>
      <c r="AB51" s="46" t="s">
        <v>187</v>
      </c>
      <c r="AC51" s="47"/>
      <c r="AD51" s="47"/>
      <c r="AE51" s="48"/>
      <c r="AF51" s="52" t="s">
        <v>206</v>
      </c>
      <c r="AG51" s="53"/>
      <c r="AH51" s="53"/>
      <c r="AI51" s="53"/>
      <c r="AJ51" s="53"/>
      <c r="AK51" s="53"/>
      <c r="AL51" s="53"/>
      <c r="AM51" s="54"/>
    </row>
    <row r="52" spans="1:39" x14ac:dyDescent="0.25">
      <c r="A52">
        <f>COUNTIF($C$42:$M$81,G52)</f>
        <v>2</v>
      </c>
      <c r="B52">
        <v>10</v>
      </c>
      <c r="C52" s="31" t="s">
        <v>207</v>
      </c>
      <c r="D52" s="32"/>
      <c r="E52" s="32"/>
      <c r="F52" s="33"/>
      <c r="G52" s="61" t="s">
        <v>208</v>
      </c>
      <c r="H52" s="62"/>
      <c r="I52" s="62"/>
      <c r="J52" s="62"/>
      <c r="K52" s="62"/>
      <c r="L52" s="62"/>
      <c r="M52" s="63"/>
      <c r="N52" s="61" t="s">
        <v>209</v>
      </c>
      <c r="O52" s="62"/>
      <c r="P52" s="62"/>
      <c r="Q52" s="63"/>
      <c r="R52" s="64">
        <v>22</v>
      </c>
      <c r="S52" s="65"/>
      <c r="T52" s="66"/>
      <c r="U52" s="64">
        <v>25</v>
      </c>
      <c r="V52" s="65"/>
      <c r="W52" s="65"/>
      <c r="X52" s="65"/>
      <c r="Y52" s="65"/>
      <c r="Z52" s="65"/>
      <c r="AA52" s="66"/>
      <c r="AB52" s="61" t="s">
        <v>187</v>
      </c>
      <c r="AC52" s="62"/>
      <c r="AD52" s="62"/>
      <c r="AE52" s="63"/>
      <c r="AF52" s="31" t="s">
        <v>210</v>
      </c>
      <c r="AG52" s="32"/>
      <c r="AH52" s="32"/>
      <c r="AI52" s="32"/>
      <c r="AJ52" s="32"/>
      <c r="AK52" s="32"/>
      <c r="AL52" s="32"/>
      <c r="AM52" s="33"/>
    </row>
    <row r="53" spans="1:39" x14ac:dyDescent="0.25">
      <c r="B53">
        <v>11</v>
      </c>
      <c r="C53" s="76" t="s">
        <v>211</v>
      </c>
      <c r="D53" s="77"/>
      <c r="E53" s="77"/>
      <c r="F53" s="78"/>
      <c r="G53" s="79" t="s">
        <v>178</v>
      </c>
      <c r="H53" s="80"/>
      <c r="I53" s="80"/>
      <c r="J53" s="80"/>
      <c r="K53" s="80"/>
      <c r="L53" s="80"/>
      <c r="M53" s="81"/>
      <c r="N53" s="79" t="s">
        <v>212</v>
      </c>
      <c r="O53" s="80"/>
      <c r="P53" s="80"/>
      <c r="Q53" s="81"/>
      <c r="R53" s="49">
        <v>31</v>
      </c>
      <c r="S53" s="50"/>
      <c r="T53" s="51"/>
      <c r="U53" s="79" t="s">
        <v>213</v>
      </c>
      <c r="V53" s="80"/>
      <c r="W53" s="80"/>
      <c r="X53" s="80"/>
      <c r="Y53" s="80"/>
      <c r="Z53" s="80"/>
      <c r="AA53" s="81"/>
      <c r="AB53" s="79" t="s">
        <v>171</v>
      </c>
      <c r="AC53" s="80"/>
      <c r="AD53" s="80"/>
      <c r="AE53" s="81"/>
      <c r="AF53" s="52" t="s">
        <v>214</v>
      </c>
      <c r="AG53" s="53"/>
      <c r="AH53" s="53"/>
      <c r="AI53" s="53"/>
      <c r="AJ53" s="53"/>
      <c r="AK53" s="53"/>
      <c r="AL53" s="53"/>
      <c r="AM53" s="54"/>
    </row>
    <row r="54" spans="1:39" x14ac:dyDescent="0.25">
      <c r="A54">
        <f>COUNTIF($C$42:$M$81,G54)</f>
        <v>3</v>
      </c>
      <c r="B54">
        <v>12</v>
      </c>
      <c r="C54" s="31" t="s">
        <v>215</v>
      </c>
      <c r="D54" s="32"/>
      <c r="E54" s="32"/>
      <c r="F54" s="33"/>
      <c r="G54" s="70" t="s">
        <v>216</v>
      </c>
      <c r="H54" s="71"/>
      <c r="I54" s="71"/>
      <c r="J54" s="71"/>
      <c r="K54" s="71"/>
      <c r="L54" s="71"/>
      <c r="M54" s="72"/>
      <c r="N54" s="61" t="s">
        <v>217</v>
      </c>
      <c r="O54" s="62"/>
      <c r="P54" s="62"/>
      <c r="Q54" s="63"/>
      <c r="R54" s="28">
        <v>0</v>
      </c>
      <c r="S54" s="29"/>
      <c r="T54" s="30"/>
      <c r="U54" s="73" t="s">
        <v>205</v>
      </c>
      <c r="V54" s="74"/>
      <c r="W54" s="74"/>
      <c r="X54" s="74"/>
      <c r="Y54" s="74"/>
      <c r="Z54" s="74"/>
      <c r="AA54" s="75"/>
      <c r="AB54" s="61" t="s">
        <v>180</v>
      </c>
      <c r="AC54" s="62"/>
      <c r="AD54" s="62"/>
      <c r="AE54" s="63"/>
      <c r="AF54" s="31" t="s">
        <v>218</v>
      </c>
      <c r="AG54" s="32"/>
      <c r="AH54" s="32"/>
      <c r="AI54" s="32"/>
      <c r="AJ54" s="32"/>
      <c r="AK54" s="32"/>
      <c r="AL54" s="32"/>
      <c r="AM54" s="33"/>
    </row>
    <row r="55" spans="1:39" x14ac:dyDescent="0.25">
      <c r="B55">
        <v>13</v>
      </c>
      <c r="C55" s="52" t="s">
        <v>219</v>
      </c>
      <c r="D55" s="53"/>
      <c r="E55" s="53"/>
      <c r="F55" s="54"/>
      <c r="G55" s="85" t="s">
        <v>178</v>
      </c>
      <c r="H55" s="86"/>
      <c r="I55" s="86"/>
      <c r="J55" s="86"/>
      <c r="K55" s="86"/>
      <c r="L55" s="86"/>
      <c r="M55" s="87"/>
      <c r="N55" s="85" t="s">
        <v>220</v>
      </c>
      <c r="O55" s="86"/>
      <c r="P55" s="86"/>
      <c r="Q55" s="87"/>
      <c r="R55" s="37">
        <v>0</v>
      </c>
      <c r="S55" s="38"/>
      <c r="T55" s="39"/>
      <c r="U55" s="85" t="s">
        <v>221</v>
      </c>
      <c r="V55" s="86"/>
      <c r="W55" s="86"/>
      <c r="X55" s="86"/>
      <c r="Y55" s="86"/>
      <c r="Z55" s="86"/>
      <c r="AA55" s="87"/>
      <c r="AB55" s="85" t="s">
        <v>171</v>
      </c>
      <c r="AC55" s="86"/>
      <c r="AD55" s="86"/>
      <c r="AE55" s="87"/>
      <c r="AF55" s="52" t="s">
        <v>222</v>
      </c>
      <c r="AG55" s="53"/>
      <c r="AH55" s="53"/>
      <c r="AI55" s="53"/>
      <c r="AJ55" s="53"/>
      <c r="AK55" s="53"/>
      <c r="AL55" s="53"/>
      <c r="AM55" s="54"/>
    </row>
    <row r="56" spans="1:39" x14ac:dyDescent="0.25">
      <c r="B56">
        <v>14</v>
      </c>
      <c r="C56" s="31" t="s">
        <v>223</v>
      </c>
      <c r="D56" s="32"/>
      <c r="E56" s="32"/>
      <c r="F56" s="33"/>
      <c r="G56" s="61" t="s">
        <v>174</v>
      </c>
      <c r="H56" s="62"/>
      <c r="I56" s="62"/>
      <c r="J56" s="62"/>
      <c r="K56" s="62"/>
      <c r="L56" s="62"/>
      <c r="M56" s="63"/>
      <c r="N56" s="61" t="s">
        <v>224</v>
      </c>
      <c r="O56" s="62"/>
      <c r="P56" s="62"/>
      <c r="Q56" s="63"/>
      <c r="R56" s="64">
        <v>0</v>
      </c>
      <c r="S56" s="65"/>
      <c r="T56" s="66"/>
      <c r="U56" s="82" t="s">
        <v>225</v>
      </c>
      <c r="V56" s="83"/>
      <c r="W56" s="83"/>
      <c r="X56" s="83"/>
      <c r="Y56" s="83"/>
      <c r="Z56" s="83"/>
      <c r="AA56" s="84"/>
      <c r="AB56" s="61" t="s">
        <v>180</v>
      </c>
      <c r="AC56" s="62"/>
      <c r="AD56" s="62"/>
      <c r="AE56" s="63"/>
      <c r="AF56" s="31" t="s">
        <v>226</v>
      </c>
      <c r="AG56" s="32"/>
      <c r="AH56" s="32"/>
      <c r="AI56" s="32"/>
      <c r="AJ56" s="32"/>
      <c r="AK56" s="32"/>
      <c r="AL56" s="32"/>
      <c r="AM56" s="33"/>
    </row>
    <row r="57" spans="1:39" x14ac:dyDescent="0.25">
      <c r="B57">
        <v>15</v>
      </c>
      <c r="C57" s="52" t="s">
        <v>227</v>
      </c>
      <c r="D57" s="53"/>
      <c r="E57" s="53"/>
      <c r="F57" s="54"/>
      <c r="G57" s="85" t="s">
        <v>174</v>
      </c>
      <c r="H57" s="86"/>
      <c r="I57" s="86"/>
      <c r="J57" s="86"/>
      <c r="K57" s="86"/>
      <c r="L57" s="86"/>
      <c r="M57" s="87"/>
      <c r="N57" s="79" t="s">
        <v>228</v>
      </c>
      <c r="O57" s="80"/>
      <c r="P57" s="80"/>
      <c r="Q57" s="81"/>
      <c r="R57" s="49">
        <v>15</v>
      </c>
      <c r="S57" s="50"/>
      <c r="T57" s="51"/>
      <c r="U57" s="49">
        <v>240</v>
      </c>
      <c r="V57" s="50"/>
      <c r="W57" s="50"/>
      <c r="X57" s="50"/>
      <c r="Y57" s="50"/>
      <c r="Z57" s="50"/>
      <c r="AA57" s="51"/>
      <c r="AB57" s="79" t="s">
        <v>171</v>
      </c>
      <c r="AC57" s="80"/>
      <c r="AD57" s="80"/>
      <c r="AE57" s="81"/>
      <c r="AF57" s="85" t="s">
        <v>229</v>
      </c>
      <c r="AG57" s="86"/>
      <c r="AH57" s="86"/>
      <c r="AI57" s="86"/>
      <c r="AJ57" s="86"/>
      <c r="AK57" s="86"/>
      <c r="AL57" s="86"/>
      <c r="AM57" s="87"/>
    </row>
    <row r="58" spans="1:39" x14ac:dyDescent="0.25">
      <c r="B58">
        <v>16</v>
      </c>
      <c r="C58" s="88" t="s">
        <v>230</v>
      </c>
      <c r="D58" s="89"/>
      <c r="E58" s="89"/>
      <c r="F58" s="90"/>
      <c r="G58" s="70" t="s">
        <v>208</v>
      </c>
      <c r="H58" s="71"/>
      <c r="I58" s="71"/>
      <c r="J58" s="71"/>
      <c r="K58" s="71"/>
      <c r="L58" s="71"/>
      <c r="M58" s="72"/>
      <c r="N58" s="70" t="s">
        <v>231</v>
      </c>
      <c r="O58" s="71"/>
      <c r="P58" s="71"/>
      <c r="Q58" s="72"/>
      <c r="R58" s="28">
        <v>173</v>
      </c>
      <c r="S58" s="29"/>
      <c r="T58" s="30"/>
      <c r="U58" s="28">
        <v>800</v>
      </c>
      <c r="V58" s="29"/>
      <c r="W58" s="29"/>
      <c r="X58" s="29"/>
      <c r="Y58" s="29"/>
      <c r="Z58" s="29"/>
      <c r="AA58" s="30"/>
      <c r="AB58" s="70" t="s">
        <v>180</v>
      </c>
      <c r="AC58" s="71"/>
      <c r="AD58" s="71"/>
      <c r="AE58" s="72"/>
      <c r="AF58" s="31" t="s">
        <v>232</v>
      </c>
      <c r="AG58" s="32"/>
      <c r="AH58" s="32"/>
      <c r="AI58" s="32"/>
      <c r="AJ58" s="32"/>
      <c r="AK58" s="32"/>
      <c r="AL58" s="32"/>
      <c r="AM58" s="33"/>
    </row>
    <row r="59" spans="1:39" x14ac:dyDescent="0.25">
      <c r="A59">
        <f>COUNTIF($C$42:$M$81,G59)</f>
        <v>1</v>
      </c>
      <c r="B59">
        <v>17</v>
      </c>
      <c r="C59" s="76" t="s">
        <v>233</v>
      </c>
      <c r="D59" s="77"/>
      <c r="E59" s="77"/>
      <c r="F59" s="78"/>
      <c r="G59" s="79" t="s">
        <v>234</v>
      </c>
      <c r="H59" s="80"/>
      <c r="I59" s="80"/>
      <c r="J59" s="80"/>
      <c r="K59" s="80"/>
      <c r="L59" s="80"/>
      <c r="M59" s="81"/>
      <c r="N59" s="79" t="s">
        <v>235</v>
      </c>
      <c r="O59" s="80"/>
      <c r="P59" s="80"/>
      <c r="Q59" s="81"/>
      <c r="R59" s="79" t="s">
        <v>213</v>
      </c>
      <c r="S59" s="80"/>
      <c r="T59" s="81"/>
      <c r="U59" s="103">
        <v>2.75</v>
      </c>
      <c r="V59" s="104"/>
      <c r="W59" s="104"/>
      <c r="X59" s="104"/>
      <c r="Y59" s="104"/>
      <c r="Z59" s="104"/>
      <c r="AA59" s="105"/>
      <c r="AB59" s="79" t="s">
        <v>187</v>
      </c>
      <c r="AC59" s="80"/>
      <c r="AD59" s="80"/>
      <c r="AE59" s="81"/>
      <c r="AF59" s="52" t="s">
        <v>236</v>
      </c>
      <c r="AG59" s="53"/>
      <c r="AH59" s="53"/>
      <c r="AI59" s="53"/>
      <c r="AJ59" s="53"/>
      <c r="AK59" s="53"/>
      <c r="AL59" s="53"/>
      <c r="AM59" s="54"/>
    </row>
    <row r="60" spans="1:39" s="17" customFormat="1" x14ac:dyDescent="0.25">
      <c r="B60" s="17">
        <v>18</v>
      </c>
      <c r="C60" s="91" t="s">
        <v>237</v>
      </c>
      <c r="D60" s="92"/>
      <c r="E60" s="92"/>
      <c r="F60" s="93"/>
      <c r="G60" s="94" t="s">
        <v>174</v>
      </c>
      <c r="H60" s="95"/>
      <c r="I60" s="95"/>
      <c r="J60" s="95"/>
      <c r="K60" s="95"/>
      <c r="L60" s="95"/>
      <c r="M60" s="96"/>
      <c r="N60" s="94" t="s">
        <v>238</v>
      </c>
      <c r="O60" s="95"/>
      <c r="P60" s="95"/>
      <c r="Q60" s="96"/>
      <c r="R60" s="97">
        <v>0</v>
      </c>
      <c r="S60" s="98"/>
      <c r="T60" s="99"/>
      <c r="U60" s="100" t="s">
        <v>239</v>
      </c>
      <c r="V60" s="101"/>
      <c r="W60" s="101"/>
      <c r="X60" s="101"/>
      <c r="Y60" s="101"/>
      <c r="Z60" s="101"/>
      <c r="AA60" s="102"/>
      <c r="AB60" s="94" t="s">
        <v>240</v>
      </c>
      <c r="AC60" s="95"/>
      <c r="AD60" s="95"/>
      <c r="AE60" s="96"/>
      <c r="AF60" s="91" t="s">
        <v>241</v>
      </c>
      <c r="AG60" s="92"/>
      <c r="AH60" s="92"/>
      <c r="AI60" s="92"/>
      <c r="AJ60" s="92"/>
      <c r="AK60" s="92"/>
      <c r="AL60" s="92"/>
      <c r="AM60" s="93"/>
    </row>
    <row r="61" spans="1:39" x14ac:dyDescent="0.25">
      <c r="B61">
        <v>19</v>
      </c>
      <c r="C61" s="88" t="s">
        <v>242</v>
      </c>
      <c r="D61" s="89"/>
      <c r="E61" s="89"/>
      <c r="F61" s="90"/>
      <c r="G61" s="70" t="s">
        <v>174</v>
      </c>
      <c r="H61" s="71"/>
      <c r="I61" s="71"/>
      <c r="J61" s="71"/>
      <c r="K61" s="71"/>
      <c r="L61" s="71"/>
      <c r="M61" s="72"/>
      <c r="N61" s="70" t="s">
        <v>243</v>
      </c>
      <c r="O61" s="71"/>
      <c r="P61" s="71"/>
      <c r="Q61" s="72"/>
      <c r="R61" s="28">
        <v>0</v>
      </c>
      <c r="S61" s="29"/>
      <c r="T61" s="30"/>
      <c r="U61" s="31"/>
      <c r="V61" s="32"/>
      <c r="W61" s="32"/>
      <c r="X61" s="32"/>
      <c r="Y61" s="32"/>
      <c r="Z61" s="32"/>
      <c r="AA61" s="33"/>
      <c r="AB61" s="70" t="s">
        <v>244</v>
      </c>
      <c r="AC61" s="71"/>
      <c r="AD61" s="71"/>
      <c r="AE61" s="72"/>
      <c r="AF61" s="31" t="s">
        <v>245</v>
      </c>
      <c r="AG61" s="32"/>
      <c r="AH61" s="32"/>
      <c r="AI61" s="32"/>
      <c r="AJ61" s="32"/>
      <c r="AK61" s="32"/>
      <c r="AL61" s="32"/>
      <c r="AM61" s="33"/>
    </row>
    <row r="62" spans="1:39" x14ac:dyDescent="0.25">
      <c r="B62">
        <v>20</v>
      </c>
      <c r="C62" s="76" t="s">
        <v>246</v>
      </c>
      <c r="D62" s="77"/>
      <c r="E62" s="77"/>
      <c r="F62" s="78"/>
      <c r="G62" s="79" t="s">
        <v>174</v>
      </c>
      <c r="H62" s="80"/>
      <c r="I62" s="80"/>
      <c r="J62" s="80"/>
      <c r="K62" s="80"/>
      <c r="L62" s="80"/>
      <c r="M62" s="81"/>
      <c r="N62" s="79" t="s">
        <v>247</v>
      </c>
      <c r="O62" s="80"/>
      <c r="P62" s="80"/>
      <c r="Q62" s="81"/>
      <c r="R62" s="49">
        <v>581</v>
      </c>
      <c r="S62" s="50"/>
      <c r="T62" s="51"/>
      <c r="U62" s="79" t="s">
        <v>248</v>
      </c>
      <c r="V62" s="80"/>
      <c r="W62" s="80"/>
      <c r="X62" s="80"/>
      <c r="Y62" s="80"/>
      <c r="Z62" s="80"/>
      <c r="AA62" s="81"/>
      <c r="AB62" s="79" t="s">
        <v>240</v>
      </c>
      <c r="AC62" s="80"/>
      <c r="AD62" s="80"/>
      <c r="AE62" s="81"/>
      <c r="AF62" s="52" t="s">
        <v>249</v>
      </c>
      <c r="AG62" s="53"/>
      <c r="AH62" s="53"/>
      <c r="AI62" s="53"/>
      <c r="AJ62" s="53"/>
      <c r="AK62" s="53"/>
      <c r="AL62" s="53"/>
      <c r="AM62" s="54"/>
    </row>
    <row r="63" spans="1:39" x14ac:dyDescent="0.25">
      <c r="B63">
        <v>21</v>
      </c>
      <c r="C63" s="88" t="s">
        <v>250</v>
      </c>
      <c r="D63" s="89"/>
      <c r="E63" s="89"/>
      <c r="F63" s="90"/>
      <c r="G63" s="70" t="s">
        <v>178</v>
      </c>
      <c r="H63" s="71"/>
      <c r="I63" s="71"/>
      <c r="J63" s="71"/>
      <c r="K63" s="71"/>
      <c r="L63" s="71"/>
      <c r="M63" s="72"/>
      <c r="N63" s="70" t="s">
        <v>251</v>
      </c>
      <c r="O63" s="71"/>
      <c r="P63" s="71"/>
      <c r="Q63" s="72"/>
      <c r="R63" s="28">
        <v>29</v>
      </c>
      <c r="S63" s="29"/>
      <c r="T63" s="30"/>
      <c r="U63" s="70" t="s">
        <v>252</v>
      </c>
      <c r="V63" s="71"/>
      <c r="W63" s="71"/>
      <c r="X63" s="71"/>
      <c r="Y63" s="71"/>
      <c r="Z63" s="71"/>
      <c r="AA63" s="72"/>
      <c r="AB63" s="70" t="s">
        <v>240</v>
      </c>
      <c r="AC63" s="71"/>
      <c r="AD63" s="71"/>
      <c r="AE63" s="72"/>
      <c r="AF63" s="31" t="s">
        <v>253</v>
      </c>
      <c r="AG63" s="32"/>
      <c r="AH63" s="32"/>
      <c r="AI63" s="32"/>
      <c r="AJ63" s="32"/>
      <c r="AK63" s="32"/>
      <c r="AL63" s="32"/>
      <c r="AM63" s="33"/>
    </row>
    <row r="64" spans="1:39" x14ac:dyDescent="0.25">
      <c r="A64">
        <v>1</v>
      </c>
      <c r="B64">
        <v>22</v>
      </c>
      <c r="C64" s="52" t="s">
        <v>254</v>
      </c>
      <c r="D64" s="53"/>
      <c r="E64" s="53"/>
      <c r="F64" s="54"/>
      <c r="G64" s="52"/>
      <c r="H64" s="53"/>
      <c r="I64" s="53"/>
      <c r="J64" s="53"/>
      <c r="K64" s="53"/>
      <c r="L64" s="53"/>
      <c r="M64" s="54"/>
      <c r="N64" s="79" t="s">
        <v>255</v>
      </c>
      <c r="O64" s="80"/>
      <c r="P64" s="80"/>
      <c r="Q64" s="81"/>
      <c r="R64" s="49">
        <v>0</v>
      </c>
      <c r="S64" s="50"/>
      <c r="T64" s="51"/>
      <c r="U64" s="106" t="s">
        <v>205</v>
      </c>
      <c r="V64" s="107"/>
      <c r="W64" s="107"/>
      <c r="X64" s="107"/>
      <c r="Y64" s="107"/>
      <c r="Z64" s="107"/>
      <c r="AA64" s="108"/>
      <c r="AB64" s="85" t="s">
        <v>240</v>
      </c>
      <c r="AC64" s="86"/>
      <c r="AD64" s="86"/>
      <c r="AE64" s="87"/>
      <c r="AF64" s="52" t="s">
        <v>256</v>
      </c>
      <c r="AG64" s="53"/>
      <c r="AH64" s="53"/>
      <c r="AI64" s="53"/>
      <c r="AJ64" s="53"/>
      <c r="AK64" s="53"/>
      <c r="AL64" s="53"/>
      <c r="AM64" s="54"/>
    </row>
    <row r="65" spans="1:39" x14ac:dyDescent="0.25">
      <c r="B65">
        <v>23</v>
      </c>
      <c r="C65" s="88" t="s">
        <v>257</v>
      </c>
      <c r="D65" s="89"/>
      <c r="E65" s="89"/>
      <c r="F65" s="90"/>
      <c r="G65" s="70" t="s">
        <v>174</v>
      </c>
      <c r="H65" s="71"/>
      <c r="I65" s="71"/>
      <c r="J65" s="71"/>
      <c r="K65" s="71"/>
      <c r="L65" s="71"/>
      <c r="M65" s="72"/>
      <c r="N65" s="70" t="s">
        <v>258</v>
      </c>
      <c r="O65" s="71"/>
      <c r="P65" s="71"/>
      <c r="Q65" s="72"/>
      <c r="R65" s="28">
        <v>14</v>
      </c>
      <c r="S65" s="29"/>
      <c r="T65" s="30"/>
      <c r="U65" s="70" t="s">
        <v>259</v>
      </c>
      <c r="V65" s="71"/>
      <c r="W65" s="71"/>
      <c r="X65" s="71"/>
      <c r="Y65" s="71"/>
      <c r="Z65" s="71"/>
      <c r="AA65" s="72"/>
      <c r="AB65" s="70" t="s">
        <v>260</v>
      </c>
      <c r="AC65" s="71"/>
      <c r="AD65" s="71"/>
      <c r="AE65" s="72"/>
      <c r="AF65" s="31" t="s">
        <v>261</v>
      </c>
      <c r="AG65" s="32"/>
      <c r="AH65" s="32"/>
      <c r="AI65" s="32"/>
      <c r="AJ65" s="32"/>
      <c r="AK65" s="32"/>
      <c r="AL65" s="32"/>
      <c r="AM65" s="33"/>
    </row>
    <row r="66" spans="1:39" x14ac:dyDescent="0.25">
      <c r="B66">
        <v>24</v>
      </c>
      <c r="C66" s="76" t="s">
        <v>262</v>
      </c>
      <c r="D66" s="77"/>
      <c r="E66" s="77"/>
      <c r="F66" s="78"/>
      <c r="G66" s="79" t="s">
        <v>174</v>
      </c>
      <c r="H66" s="80"/>
      <c r="I66" s="80"/>
      <c r="J66" s="80"/>
      <c r="K66" s="80"/>
      <c r="L66" s="80"/>
      <c r="M66" s="81"/>
      <c r="N66" s="79" t="s">
        <v>263</v>
      </c>
      <c r="O66" s="80"/>
      <c r="P66" s="80"/>
      <c r="Q66" s="81"/>
      <c r="R66" s="49">
        <v>0</v>
      </c>
      <c r="S66" s="50"/>
      <c r="T66" s="51"/>
      <c r="U66" s="79" t="s">
        <v>264</v>
      </c>
      <c r="V66" s="80"/>
      <c r="W66" s="80"/>
      <c r="X66" s="80"/>
      <c r="Y66" s="80"/>
      <c r="Z66" s="80"/>
      <c r="AA66" s="81"/>
      <c r="AB66" s="79" t="s">
        <v>265</v>
      </c>
      <c r="AC66" s="80"/>
      <c r="AD66" s="80"/>
      <c r="AE66" s="81"/>
      <c r="AF66" s="52" t="s">
        <v>266</v>
      </c>
      <c r="AG66" s="53"/>
      <c r="AH66" s="53"/>
      <c r="AI66" s="53"/>
      <c r="AJ66" s="53"/>
      <c r="AK66" s="53"/>
      <c r="AL66" s="53"/>
      <c r="AM66" s="54"/>
    </row>
    <row r="67" spans="1:39" x14ac:dyDescent="0.25">
      <c r="A67">
        <f>COUNTIF($C$42:$M$81,G67)</f>
        <v>2</v>
      </c>
      <c r="B67">
        <v>25</v>
      </c>
      <c r="C67" s="31" t="s">
        <v>267</v>
      </c>
      <c r="D67" s="32"/>
      <c r="E67" s="32"/>
      <c r="F67" s="33"/>
      <c r="G67" s="70" t="s">
        <v>268</v>
      </c>
      <c r="H67" s="71"/>
      <c r="I67" s="71"/>
      <c r="J67" s="71"/>
      <c r="K67" s="71"/>
      <c r="L67" s="71"/>
      <c r="M67" s="72"/>
      <c r="N67" s="61" t="s">
        <v>269</v>
      </c>
      <c r="O67" s="62"/>
      <c r="P67" s="62"/>
      <c r="Q67" s="63"/>
      <c r="R67" s="28">
        <v>3</v>
      </c>
      <c r="S67" s="29"/>
      <c r="T67" s="30"/>
      <c r="U67" s="28">
        <v>11</v>
      </c>
      <c r="V67" s="29"/>
      <c r="W67" s="29"/>
      <c r="X67" s="29"/>
      <c r="Y67" s="29"/>
      <c r="Z67" s="29"/>
      <c r="AA67" s="30"/>
      <c r="AB67" s="61" t="s">
        <v>260</v>
      </c>
      <c r="AC67" s="62"/>
      <c r="AD67" s="62"/>
      <c r="AE67" s="63"/>
      <c r="AF67" s="31" t="s">
        <v>270</v>
      </c>
      <c r="AG67" s="32"/>
      <c r="AH67" s="32"/>
      <c r="AI67" s="32"/>
      <c r="AJ67" s="32"/>
      <c r="AK67" s="32"/>
      <c r="AL67" s="32"/>
      <c r="AM67" s="33"/>
    </row>
    <row r="68" spans="1:39" x14ac:dyDescent="0.25">
      <c r="A68">
        <f>COUNTIF($C$42:$M$81,G68)</f>
        <v>1</v>
      </c>
      <c r="B68">
        <v>26</v>
      </c>
      <c r="C68" s="52" t="s">
        <v>271</v>
      </c>
      <c r="D68" s="53"/>
      <c r="E68" s="53"/>
      <c r="F68" s="54"/>
      <c r="G68" s="79" t="s">
        <v>272</v>
      </c>
      <c r="H68" s="80"/>
      <c r="I68" s="80"/>
      <c r="J68" s="80"/>
      <c r="K68" s="80"/>
      <c r="L68" s="80"/>
      <c r="M68" s="81"/>
      <c r="N68" s="79" t="s">
        <v>273</v>
      </c>
      <c r="O68" s="80"/>
      <c r="P68" s="80"/>
      <c r="Q68" s="81"/>
      <c r="R68" s="49">
        <v>300</v>
      </c>
      <c r="S68" s="50"/>
      <c r="T68" s="51"/>
      <c r="U68" s="49">
        <v>399</v>
      </c>
      <c r="V68" s="50"/>
      <c r="W68" s="50"/>
      <c r="X68" s="50"/>
      <c r="Y68" s="50"/>
      <c r="Z68" s="50"/>
      <c r="AA68" s="51"/>
      <c r="AB68" s="85" t="s">
        <v>265</v>
      </c>
      <c r="AC68" s="86"/>
      <c r="AD68" s="86"/>
      <c r="AE68" s="87"/>
      <c r="AF68" s="85" t="s">
        <v>274</v>
      </c>
      <c r="AG68" s="86"/>
      <c r="AH68" s="86"/>
      <c r="AI68" s="86"/>
      <c r="AJ68" s="86"/>
      <c r="AK68" s="86"/>
      <c r="AL68" s="86"/>
      <c r="AM68" s="87"/>
    </row>
    <row r="69" spans="1:39" x14ac:dyDescent="0.25">
      <c r="B69">
        <v>27</v>
      </c>
      <c r="C69" s="31" t="s">
        <v>275</v>
      </c>
      <c r="D69" s="32"/>
      <c r="E69" s="32"/>
      <c r="F69" s="33"/>
      <c r="G69" s="61" t="s">
        <v>216</v>
      </c>
      <c r="H69" s="62"/>
      <c r="I69" s="62"/>
      <c r="J69" s="62"/>
      <c r="K69" s="62"/>
      <c r="L69" s="62"/>
      <c r="M69" s="63"/>
      <c r="N69" s="61" t="s">
        <v>276</v>
      </c>
      <c r="O69" s="62"/>
      <c r="P69" s="62"/>
      <c r="Q69" s="63"/>
      <c r="R69" s="64">
        <v>2</v>
      </c>
      <c r="S69" s="65"/>
      <c r="T69" s="66"/>
      <c r="U69" s="64">
        <v>25</v>
      </c>
      <c r="V69" s="65"/>
      <c r="W69" s="65"/>
      <c r="X69" s="65"/>
      <c r="Y69" s="65"/>
      <c r="Z69" s="65"/>
      <c r="AA69" s="66"/>
      <c r="AB69" s="61" t="s">
        <v>260</v>
      </c>
      <c r="AC69" s="62"/>
      <c r="AD69" s="62"/>
      <c r="AE69" s="63"/>
      <c r="AF69" s="31" t="s">
        <v>277</v>
      </c>
      <c r="AG69" s="32"/>
      <c r="AH69" s="32"/>
      <c r="AI69" s="32"/>
      <c r="AJ69" s="32"/>
      <c r="AK69" s="32"/>
      <c r="AL69" s="32"/>
      <c r="AM69" s="33"/>
    </row>
    <row r="70" spans="1:39" x14ac:dyDescent="0.25">
      <c r="A70">
        <f>COUNTIF($C$42:$M$81,G70)</f>
        <v>1</v>
      </c>
      <c r="B70">
        <v>28</v>
      </c>
      <c r="C70" s="52" t="s">
        <v>278</v>
      </c>
      <c r="D70" s="53"/>
      <c r="E70" s="53"/>
      <c r="F70" s="54"/>
      <c r="G70" s="79" t="s">
        <v>279</v>
      </c>
      <c r="H70" s="80"/>
      <c r="I70" s="80"/>
      <c r="J70" s="80"/>
      <c r="K70" s="80"/>
      <c r="L70" s="80"/>
      <c r="M70" s="81"/>
      <c r="N70" s="85" t="s">
        <v>280</v>
      </c>
      <c r="O70" s="86"/>
      <c r="P70" s="86"/>
      <c r="Q70" s="87"/>
      <c r="R70" s="49">
        <v>18</v>
      </c>
      <c r="S70" s="50"/>
      <c r="T70" s="51"/>
      <c r="U70" s="49">
        <v>20</v>
      </c>
      <c r="V70" s="50"/>
      <c r="W70" s="50"/>
      <c r="X70" s="50"/>
      <c r="Y70" s="50"/>
      <c r="Z70" s="50"/>
      <c r="AA70" s="51"/>
      <c r="AB70" s="85" t="s">
        <v>260</v>
      </c>
      <c r="AC70" s="86"/>
      <c r="AD70" s="86"/>
      <c r="AE70" s="87"/>
      <c r="AF70" s="85" t="s">
        <v>281</v>
      </c>
      <c r="AG70" s="86"/>
      <c r="AH70" s="86"/>
      <c r="AI70" s="86"/>
      <c r="AJ70" s="86"/>
      <c r="AK70" s="86"/>
      <c r="AL70" s="86"/>
      <c r="AM70" s="87"/>
    </row>
    <row r="71" spans="1:39" x14ac:dyDescent="0.25">
      <c r="A71">
        <f>COUNTIF($C$42:$M$81,G71)</f>
        <v>1</v>
      </c>
      <c r="B71">
        <v>29</v>
      </c>
      <c r="C71" s="88" t="s">
        <v>282</v>
      </c>
      <c r="D71" s="89"/>
      <c r="E71" s="89"/>
      <c r="F71" s="90"/>
      <c r="G71" s="70" t="s">
        <v>283</v>
      </c>
      <c r="H71" s="71"/>
      <c r="I71" s="71"/>
      <c r="J71" s="71"/>
      <c r="K71" s="71"/>
      <c r="L71" s="71"/>
      <c r="M71" s="72"/>
      <c r="N71" s="70" t="s">
        <v>284</v>
      </c>
      <c r="O71" s="71"/>
      <c r="P71" s="71"/>
      <c r="Q71" s="72"/>
      <c r="R71" s="28">
        <v>162</v>
      </c>
      <c r="S71" s="29"/>
      <c r="T71" s="30"/>
      <c r="U71" s="31"/>
      <c r="V71" s="32"/>
      <c r="W71" s="32"/>
      <c r="X71" s="32"/>
      <c r="Y71" s="32"/>
      <c r="Z71" s="32"/>
      <c r="AA71" s="33"/>
      <c r="AB71" s="70" t="s">
        <v>265</v>
      </c>
      <c r="AC71" s="71"/>
      <c r="AD71" s="71"/>
      <c r="AE71" s="72"/>
      <c r="AF71" s="31" t="s">
        <v>285</v>
      </c>
      <c r="AG71" s="32"/>
      <c r="AH71" s="32"/>
      <c r="AI71" s="32"/>
      <c r="AJ71" s="32"/>
      <c r="AK71" s="32"/>
      <c r="AL71" s="32"/>
      <c r="AM71" s="33"/>
    </row>
    <row r="72" spans="1:39" x14ac:dyDescent="0.25">
      <c r="B72">
        <v>30</v>
      </c>
      <c r="C72" s="109">
        <v>2007</v>
      </c>
      <c r="D72" s="110"/>
      <c r="E72" s="110"/>
      <c r="F72" s="111"/>
      <c r="G72" s="79" t="s">
        <v>216</v>
      </c>
      <c r="H72" s="80"/>
      <c r="I72" s="80"/>
      <c r="J72" s="80"/>
      <c r="K72" s="80"/>
      <c r="L72" s="80"/>
      <c r="M72" s="81"/>
      <c r="N72" s="85" t="s">
        <v>286</v>
      </c>
      <c r="O72" s="86"/>
      <c r="P72" s="86"/>
      <c r="Q72" s="87"/>
      <c r="R72" s="49">
        <v>0</v>
      </c>
      <c r="S72" s="50"/>
      <c r="T72" s="51"/>
      <c r="U72" s="49">
        <v>400</v>
      </c>
      <c r="V72" s="50"/>
      <c r="W72" s="50"/>
      <c r="X72" s="50"/>
      <c r="Y72" s="50"/>
      <c r="Z72" s="50"/>
      <c r="AA72" s="51"/>
      <c r="AB72" s="85" t="s">
        <v>240</v>
      </c>
      <c r="AC72" s="86"/>
      <c r="AD72" s="86"/>
      <c r="AE72" s="87"/>
      <c r="AF72" s="52" t="s">
        <v>287</v>
      </c>
      <c r="AG72" s="53"/>
      <c r="AH72" s="53"/>
      <c r="AI72" s="53"/>
      <c r="AJ72" s="53"/>
      <c r="AK72" s="53"/>
      <c r="AL72" s="53"/>
      <c r="AM72" s="54"/>
    </row>
    <row r="73" spans="1:39" x14ac:dyDescent="0.25">
      <c r="A73">
        <f>COUNTIF($C$42:$M$81,G73)</f>
        <v>1</v>
      </c>
      <c r="B73">
        <v>31</v>
      </c>
      <c r="C73" s="88" t="s">
        <v>288</v>
      </c>
      <c r="D73" s="89"/>
      <c r="E73" s="89"/>
      <c r="F73" s="90"/>
      <c r="G73" s="70" t="s">
        <v>289</v>
      </c>
      <c r="H73" s="71"/>
      <c r="I73" s="71"/>
      <c r="J73" s="71"/>
      <c r="K73" s="71"/>
      <c r="L73" s="71"/>
      <c r="M73" s="72"/>
      <c r="N73" s="70" t="s">
        <v>290</v>
      </c>
      <c r="O73" s="71"/>
      <c r="P73" s="71"/>
      <c r="Q73" s="72"/>
      <c r="R73" s="28">
        <v>28</v>
      </c>
      <c r="S73" s="29"/>
      <c r="T73" s="30"/>
      <c r="U73" s="70" t="s">
        <v>291</v>
      </c>
      <c r="V73" s="71"/>
      <c r="W73" s="71"/>
      <c r="X73" s="71"/>
      <c r="Y73" s="71"/>
      <c r="Z73" s="71"/>
      <c r="AA73" s="72"/>
      <c r="AB73" s="70" t="s">
        <v>260</v>
      </c>
      <c r="AC73" s="71"/>
      <c r="AD73" s="71"/>
      <c r="AE73" s="72"/>
      <c r="AF73" s="61" t="s">
        <v>292</v>
      </c>
      <c r="AG73" s="62"/>
      <c r="AH73" s="62"/>
      <c r="AI73" s="62"/>
      <c r="AJ73" s="62"/>
      <c r="AK73" s="62"/>
      <c r="AL73" s="62"/>
      <c r="AM73" s="63"/>
    </row>
    <row r="74" spans="1:39" s="17" customFormat="1" x14ac:dyDescent="0.25">
      <c r="B74" s="17">
        <v>32</v>
      </c>
      <c r="C74" s="91" t="s">
        <v>293</v>
      </c>
      <c r="D74" s="92"/>
      <c r="E74" s="92"/>
      <c r="F74" s="93"/>
      <c r="G74" s="100" t="s">
        <v>268</v>
      </c>
      <c r="H74" s="101"/>
      <c r="I74" s="101"/>
      <c r="J74" s="101"/>
      <c r="K74" s="101"/>
      <c r="L74" s="101"/>
      <c r="M74" s="102"/>
      <c r="N74" s="94" t="s">
        <v>294</v>
      </c>
      <c r="O74" s="95"/>
      <c r="P74" s="95"/>
      <c r="Q74" s="96"/>
      <c r="R74" s="112">
        <v>0</v>
      </c>
      <c r="S74" s="113"/>
      <c r="T74" s="114"/>
      <c r="U74" s="97">
        <v>56</v>
      </c>
      <c r="V74" s="98"/>
      <c r="W74" s="98"/>
      <c r="X74" s="98"/>
      <c r="Y74" s="98"/>
      <c r="Z74" s="98"/>
      <c r="AA74" s="99"/>
      <c r="AB74" s="94" t="s">
        <v>260</v>
      </c>
      <c r="AC74" s="95"/>
      <c r="AD74" s="95"/>
      <c r="AE74" s="96"/>
      <c r="AF74" s="94" t="s">
        <v>295</v>
      </c>
      <c r="AG74" s="95"/>
      <c r="AH74" s="95"/>
      <c r="AI74" s="95"/>
      <c r="AJ74" s="95"/>
      <c r="AK74" s="95"/>
      <c r="AL74" s="95"/>
      <c r="AM74" s="96"/>
    </row>
    <row r="75" spans="1:39" x14ac:dyDescent="0.25">
      <c r="B75">
        <v>33</v>
      </c>
      <c r="C75" s="88" t="s">
        <v>296</v>
      </c>
      <c r="D75" s="89"/>
      <c r="E75" s="89"/>
      <c r="F75" s="90"/>
      <c r="G75" s="70" t="s">
        <v>174</v>
      </c>
      <c r="H75" s="71"/>
      <c r="I75" s="71"/>
      <c r="J75" s="71"/>
      <c r="K75" s="71"/>
      <c r="L75" s="71"/>
      <c r="M75" s="72"/>
      <c r="N75" s="70" t="s">
        <v>297</v>
      </c>
      <c r="O75" s="71"/>
      <c r="P75" s="71"/>
      <c r="Q75" s="72"/>
      <c r="R75" s="31"/>
      <c r="S75" s="32"/>
      <c r="T75" s="33"/>
      <c r="U75" s="70" t="s">
        <v>298</v>
      </c>
      <c r="V75" s="71"/>
      <c r="W75" s="71"/>
      <c r="X75" s="71"/>
      <c r="Y75" s="71"/>
      <c r="Z75" s="71"/>
      <c r="AA75" s="72"/>
      <c r="AB75" s="70" t="s">
        <v>299</v>
      </c>
      <c r="AC75" s="71"/>
      <c r="AD75" s="71"/>
      <c r="AE75" s="72"/>
      <c r="AF75" s="31" t="s">
        <v>300</v>
      </c>
      <c r="AG75" s="32"/>
      <c r="AH75" s="32"/>
      <c r="AI75" s="32"/>
      <c r="AJ75" s="32"/>
      <c r="AK75" s="32"/>
      <c r="AL75" s="32"/>
      <c r="AM75" s="33"/>
    </row>
    <row r="76" spans="1:39" x14ac:dyDescent="0.25">
      <c r="B76">
        <v>34</v>
      </c>
      <c r="C76" s="76" t="s">
        <v>301</v>
      </c>
      <c r="D76" s="77"/>
      <c r="E76" s="77"/>
      <c r="F76" s="78"/>
      <c r="G76" s="79" t="s">
        <v>174</v>
      </c>
      <c r="H76" s="80"/>
      <c r="I76" s="80"/>
      <c r="J76" s="80"/>
      <c r="K76" s="80"/>
      <c r="L76" s="80"/>
      <c r="M76" s="81"/>
      <c r="N76" s="79" t="s">
        <v>302</v>
      </c>
      <c r="O76" s="80"/>
      <c r="P76" s="80"/>
      <c r="Q76" s="81"/>
      <c r="R76" s="115">
        <v>6</v>
      </c>
      <c r="S76" s="116"/>
      <c r="T76" s="117"/>
      <c r="U76" s="79" t="s">
        <v>303</v>
      </c>
      <c r="V76" s="80"/>
      <c r="W76" s="80"/>
      <c r="X76" s="80"/>
      <c r="Y76" s="80"/>
      <c r="Z76" s="80"/>
      <c r="AA76" s="81"/>
      <c r="AB76" s="79" t="s">
        <v>299</v>
      </c>
      <c r="AC76" s="80"/>
      <c r="AD76" s="80"/>
      <c r="AE76" s="81"/>
      <c r="AF76" s="52" t="s">
        <v>304</v>
      </c>
      <c r="AG76" s="53"/>
      <c r="AH76" s="53"/>
      <c r="AI76" s="53"/>
      <c r="AJ76" s="53"/>
      <c r="AK76" s="53"/>
      <c r="AL76" s="53"/>
      <c r="AM76" s="54"/>
    </row>
    <row r="77" spans="1:39" x14ac:dyDescent="0.25">
      <c r="A77">
        <f>COUNTIF($C$42:$M$81,J77)</f>
        <v>2</v>
      </c>
      <c r="B77">
        <v>35</v>
      </c>
      <c r="C77" s="76" t="s">
        <v>305</v>
      </c>
      <c r="D77" s="77"/>
      <c r="E77" s="77"/>
      <c r="F77" s="77"/>
      <c r="G77" s="77"/>
      <c r="H77" s="77"/>
      <c r="I77" s="78"/>
      <c r="J77" s="79" t="s">
        <v>306</v>
      </c>
      <c r="K77" s="80"/>
      <c r="L77" s="80"/>
      <c r="M77" s="81"/>
      <c r="N77" s="79" t="s">
        <v>307</v>
      </c>
      <c r="O77" s="80"/>
      <c r="P77" s="81"/>
      <c r="Q77" s="121">
        <v>19</v>
      </c>
      <c r="R77" s="122"/>
      <c r="S77" s="122"/>
      <c r="T77" s="122"/>
      <c r="U77" s="122"/>
      <c r="V77" s="123"/>
      <c r="W77" s="121">
        <v>30</v>
      </c>
      <c r="X77" s="122"/>
      <c r="Y77" s="122"/>
      <c r="Z77" s="122"/>
      <c r="AA77" s="123"/>
      <c r="AB77" s="79" t="s">
        <v>308</v>
      </c>
      <c r="AC77" s="80"/>
      <c r="AD77" s="80"/>
      <c r="AE77" s="80"/>
      <c r="AF77" s="81"/>
      <c r="AG77" s="85" t="s">
        <v>309</v>
      </c>
      <c r="AH77" s="86"/>
      <c r="AI77" s="86"/>
      <c r="AJ77" s="86"/>
      <c r="AK77" s="87"/>
    </row>
    <row r="78" spans="1:39" x14ac:dyDescent="0.25">
      <c r="B78">
        <v>36</v>
      </c>
      <c r="C78" s="88" t="s">
        <v>310</v>
      </c>
      <c r="D78" s="89"/>
      <c r="E78" s="89"/>
      <c r="F78" s="89"/>
      <c r="G78" s="89"/>
      <c r="H78" s="89"/>
      <c r="I78" s="90"/>
      <c r="J78" s="70" t="s">
        <v>306</v>
      </c>
      <c r="K78" s="71"/>
      <c r="L78" s="71"/>
      <c r="M78" s="72"/>
      <c r="N78" s="70" t="s">
        <v>311</v>
      </c>
      <c r="O78" s="71"/>
      <c r="P78" s="72"/>
      <c r="Q78" s="118">
        <v>561</v>
      </c>
      <c r="R78" s="119"/>
      <c r="S78" s="119"/>
      <c r="T78" s="119"/>
      <c r="U78" s="119"/>
      <c r="V78" s="120"/>
      <c r="W78" s="118">
        <v>450</v>
      </c>
      <c r="X78" s="119"/>
      <c r="Y78" s="119"/>
      <c r="Z78" s="119"/>
      <c r="AA78" s="120"/>
      <c r="AB78" s="70" t="s">
        <v>308</v>
      </c>
      <c r="AC78" s="71"/>
      <c r="AD78" s="71"/>
      <c r="AE78" s="71"/>
      <c r="AF78" s="72"/>
      <c r="AG78" s="31" t="s">
        <v>312</v>
      </c>
      <c r="AH78" s="32"/>
      <c r="AI78" s="32"/>
      <c r="AJ78" s="32"/>
      <c r="AK78" s="33"/>
    </row>
    <row r="79" spans="1:39" s="17" customFormat="1" x14ac:dyDescent="0.25">
      <c r="B79" s="17">
        <v>37</v>
      </c>
      <c r="C79" s="127">
        <v>1925</v>
      </c>
      <c r="D79" s="128"/>
      <c r="E79" s="128"/>
      <c r="F79" s="128"/>
      <c r="G79" s="128"/>
      <c r="H79" s="128"/>
      <c r="I79" s="129"/>
      <c r="J79" s="94" t="s">
        <v>313</v>
      </c>
      <c r="K79" s="95"/>
      <c r="L79" s="95"/>
      <c r="M79" s="96"/>
      <c r="N79" s="94" t="s">
        <v>314</v>
      </c>
      <c r="O79" s="95"/>
      <c r="P79" s="96"/>
      <c r="Q79" s="100" t="s">
        <v>315</v>
      </c>
      <c r="R79" s="101"/>
      <c r="S79" s="101"/>
      <c r="T79" s="101"/>
      <c r="U79" s="101"/>
      <c r="V79" s="102"/>
      <c r="W79" s="100" t="s">
        <v>316</v>
      </c>
      <c r="X79" s="101"/>
      <c r="Y79" s="101"/>
      <c r="Z79" s="101"/>
      <c r="AA79" s="102"/>
      <c r="AB79" s="100" t="s">
        <v>317</v>
      </c>
      <c r="AC79" s="101"/>
      <c r="AD79" s="101"/>
      <c r="AE79" s="101"/>
      <c r="AF79" s="102"/>
      <c r="AG79" s="91" t="s">
        <v>318</v>
      </c>
      <c r="AH79" s="92"/>
      <c r="AI79" s="92"/>
      <c r="AJ79" s="92"/>
      <c r="AK79" s="93"/>
    </row>
    <row r="80" spans="1:39" x14ac:dyDescent="0.25">
      <c r="A80">
        <f>COUNTIF($C$42:$M$81,J80)</f>
        <v>1</v>
      </c>
      <c r="B80">
        <v>38</v>
      </c>
      <c r="C80" s="88" t="s">
        <v>319</v>
      </c>
      <c r="D80" s="89"/>
      <c r="E80" s="89"/>
      <c r="F80" s="89"/>
      <c r="G80" s="89"/>
      <c r="H80" s="89"/>
      <c r="I80" s="90"/>
      <c r="J80" s="70" t="s">
        <v>320</v>
      </c>
      <c r="K80" s="71"/>
      <c r="L80" s="71"/>
      <c r="M80" s="72"/>
      <c r="N80" s="70" t="s">
        <v>321</v>
      </c>
      <c r="O80" s="71"/>
      <c r="P80" s="72"/>
      <c r="Q80" s="118">
        <v>189</v>
      </c>
      <c r="R80" s="119"/>
      <c r="S80" s="119"/>
      <c r="T80" s="119"/>
      <c r="U80" s="119"/>
      <c r="V80" s="120"/>
      <c r="W80" s="118">
        <v>150</v>
      </c>
      <c r="X80" s="119"/>
      <c r="Y80" s="119"/>
      <c r="Z80" s="119"/>
      <c r="AA80" s="120"/>
      <c r="AB80" s="70" t="s">
        <v>308</v>
      </c>
      <c r="AC80" s="71"/>
      <c r="AD80" s="71"/>
      <c r="AE80" s="71"/>
      <c r="AF80" s="72"/>
      <c r="AG80" s="31" t="s">
        <v>322</v>
      </c>
      <c r="AH80" s="32"/>
      <c r="AI80" s="32"/>
      <c r="AJ80" s="32"/>
      <c r="AK80" s="33"/>
    </row>
    <row r="81" spans="2:37" x14ac:dyDescent="0.25">
      <c r="B81">
        <v>39</v>
      </c>
      <c r="C81" s="121">
        <v>1944</v>
      </c>
      <c r="D81" s="122"/>
      <c r="E81" s="122"/>
      <c r="F81" s="122"/>
      <c r="G81" s="122"/>
      <c r="H81" s="122"/>
      <c r="I81" s="123"/>
      <c r="J81" s="79" t="s">
        <v>313</v>
      </c>
      <c r="K81" s="80"/>
      <c r="L81" s="80"/>
      <c r="M81" s="81"/>
      <c r="N81" s="79" t="s">
        <v>323</v>
      </c>
      <c r="O81" s="80"/>
      <c r="P81" s="81"/>
      <c r="Q81" s="121">
        <v>4</v>
      </c>
      <c r="R81" s="122"/>
      <c r="S81" s="122"/>
      <c r="T81" s="122"/>
      <c r="U81" s="122"/>
      <c r="V81" s="123"/>
      <c r="W81" s="124" t="s">
        <v>324</v>
      </c>
      <c r="X81" s="125"/>
      <c r="Y81" s="125"/>
      <c r="Z81" s="125"/>
      <c r="AA81" s="126"/>
      <c r="AB81" s="79" t="s">
        <v>317</v>
      </c>
      <c r="AC81" s="80"/>
      <c r="AD81" s="80"/>
      <c r="AE81" s="80"/>
      <c r="AF81" s="81"/>
      <c r="AG81" s="52" t="s">
        <v>325</v>
      </c>
      <c r="AH81" s="53"/>
      <c r="AI81" s="53"/>
      <c r="AJ81" s="53"/>
      <c r="AK81" s="54"/>
    </row>
  </sheetData>
  <sortState ref="C2:L36">
    <sortCondition ref="F2:F36"/>
  </sortState>
  <mergeCells count="273">
    <mergeCell ref="AG81:AK81"/>
    <mergeCell ref="C81:I81"/>
    <mergeCell ref="J81:M81"/>
    <mergeCell ref="N81:P81"/>
    <mergeCell ref="Q81:V81"/>
    <mergeCell ref="W81:AA81"/>
    <mergeCell ref="AB81:AF81"/>
    <mergeCell ref="AG79:AK79"/>
    <mergeCell ref="C80:I80"/>
    <mergeCell ref="J80:M80"/>
    <mergeCell ref="N80:P80"/>
    <mergeCell ref="Q80:V80"/>
    <mergeCell ref="W80:AA80"/>
    <mergeCell ref="AB80:AF80"/>
    <mergeCell ref="AG80:AK80"/>
    <mergeCell ref="C79:I79"/>
    <mergeCell ref="J79:M79"/>
    <mergeCell ref="N79:P79"/>
    <mergeCell ref="Q79:V79"/>
    <mergeCell ref="W79:AA79"/>
    <mergeCell ref="AB79:AF79"/>
    <mergeCell ref="AG77:AK77"/>
    <mergeCell ref="C78:I78"/>
    <mergeCell ref="J78:M78"/>
    <mergeCell ref="N78:P78"/>
    <mergeCell ref="Q78:V78"/>
    <mergeCell ref="W78:AA78"/>
    <mergeCell ref="AB78:AF78"/>
    <mergeCell ref="AG78:AK78"/>
    <mergeCell ref="C77:I77"/>
    <mergeCell ref="J77:M77"/>
    <mergeCell ref="N77:P77"/>
    <mergeCell ref="Q77:V77"/>
    <mergeCell ref="W77:AA77"/>
    <mergeCell ref="AB77:AF77"/>
    <mergeCell ref="AF75:AM75"/>
    <mergeCell ref="C76:F76"/>
    <mergeCell ref="G76:M76"/>
    <mergeCell ref="N76:Q76"/>
    <mergeCell ref="R76:T76"/>
    <mergeCell ref="U76:AA76"/>
    <mergeCell ref="AB76:AE76"/>
    <mergeCell ref="AF76:AM76"/>
    <mergeCell ref="C75:F75"/>
    <mergeCell ref="G75:M75"/>
    <mergeCell ref="N75:Q75"/>
    <mergeCell ref="R75:T75"/>
    <mergeCell ref="U75:AA75"/>
    <mergeCell ref="AB75:AE75"/>
    <mergeCell ref="AF73:AM73"/>
    <mergeCell ref="C74:F74"/>
    <mergeCell ref="G74:M74"/>
    <mergeCell ref="N74:Q74"/>
    <mergeCell ref="R74:T74"/>
    <mergeCell ref="U74:AA74"/>
    <mergeCell ref="AB74:AE74"/>
    <mergeCell ref="AF74:AM74"/>
    <mergeCell ref="C73:F73"/>
    <mergeCell ref="G73:M73"/>
    <mergeCell ref="N73:Q73"/>
    <mergeCell ref="R73:T73"/>
    <mergeCell ref="U73:AA73"/>
    <mergeCell ref="AB73:AE73"/>
    <mergeCell ref="AF71:AM71"/>
    <mergeCell ref="C72:F72"/>
    <mergeCell ref="G72:M72"/>
    <mergeCell ref="N72:Q72"/>
    <mergeCell ref="R72:T72"/>
    <mergeCell ref="U72:AA72"/>
    <mergeCell ref="AB72:AE72"/>
    <mergeCell ref="AF72:AM72"/>
    <mergeCell ref="C71:F71"/>
    <mergeCell ref="G71:M71"/>
    <mergeCell ref="N71:Q71"/>
    <mergeCell ref="R71:T71"/>
    <mergeCell ref="U71:AA71"/>
    <mergeCell ref="AB71:AE71"/>
    <mergeCell ref="AF69:AM69"/>
    <mergeCell ref="C70:F70"/>
    <mergeCell ref="G70:M70"/>
    <mergeCell ref="N70:Q70"/>
    <mergeCell ref="R70:T70"/>
    <mergeCell ref="U70:AA70"/>
    <mergeCell ref="AB70:AE70"/>
    <mergeCell ref="AF70:AM70"/>
    <mergeCell ref="C69:F69"/>
    <mergeCell ref="G69:M69"/>
    <mergeCell ref="N69:Q69"/>
    <mergeCell ref="R69:T69"/>
    <mergeCell ref="U69:AA69"/>
    <mergeCell ref="AB69:AE69"/>
    <mergeCell ref="AF67:AM67"/>
    <mergeCell ref="C68:F68"/>
    <mergeCell ref="G68:M68"/>
    <mergeCell ref="N68:Q68"/>
    <mergeCell ref="R68:T68"/>
    <mergeCell ref="U68:AA68"/>
    <mergeCell ref="AB68:AE68"/>
    <mergeCell ref="AF68:AM68"/>
    <mergeCell ref="C67:F67"/>
    <mergeCell ref="G67:M67"/>
    <mergeCell ref="N67:Q67"/>
    <mergeCell ref="R67:T67"/>
    <mergeCell ref="U67:AA67"/>
    <mergeCell ref="AB67:AE67"/>
    <mergeCell ref="AF65:AM65"/>
    <mergeCell ref="C66:F66"/>
    <mergeCell ref="G66:M66"/>
    <mergeCell ref="N66:Q66"/>
    <mergeCell ref="R66:T66"/>
    <mergeCell ref="U66:AA66"/>
    <mergeCell ref="AB66:AE66"/>
    <mergeCell ref="AF66:AM66"/>
    <mergeCell ref="C65:F65"/>
    <mergeCell ref="G65:M65"/>
    <mergeCell ref="N65:Q65"/>
    <mergeCell ref="R65:T65"/>
    <mergeCell ref="U65:AA65"/>
    <mergeCell ref="AB65:AE65"/>
    <mergeCell ref="AF63:AM63"/>
    <mergeCell ref="C64:F64"/>
    <mergeCell ref="G64:M64"/>
    <mergeCell ref="N64:Q64"/>
    <mergeCell ref="R64:T64"/>
    <mergeCell ref="U64:AA64"/>
    <mergeCell ref="AB64:AE64"/>
    <mergeCell ref="AF64:AM64"/>
    <mergeCell ref="C63:F63"/>
    <mergeCell ref="G63:M63"/>
    <mergeCell ref="N63:Q63"/>
    <mergeCell ref="R63:T63"/>
    <mergeCell ref="U63:AA63"/>
    <mergeCell ref="AB63:AE63"/>
    <mergeCell ref="AF61:AM61"/>
    <mergeCell ref="C62:F62"/>
    <mergeCell ref="G62:M62"/>
    <mergeCell ref="N62:Q62"/>
    <mergeCell ref="R62:T62"/>
    <mergeCell ref="U62:AA62"/>
    <mergeCell ref="AB62:AE62"/>
    <mergeCell ref="AF62:AM62"/>
    <mergeCell ref="C61:F61"/>
    <mergeCell ref="G61:M61"/>
    <mergeCell ref="N61:Q61"/>
    <mergeCell ref="R61:T61"/>
    <mergeCell ref="U61:AA61"/>
    <mergeCell ref="AB61:AE61"/>
    <mergeCell ref="AF59:AM59"/>
    <mergeCell ref="C60:F60"/>
    <mergeCell ref="G60:M60"/>
    <mergeCell ref="N60:Q60"/>
    <mergeCell ref="R60:T60"/>
    <mergeCell ref="U60:AA60"/>
    <mergeCell ref="AB60:AE60"/>
    <mergeCell ref="AF60:AM60"/>
    <mergeCell ref="C59:F59"/>
    <mergeCell ref="G59:M59"/>
    <mergeCell ref="N59:Q59"/>
    <mergeCell ref="R59:T59"/>
    <mergeCell ref="U59:AA59"/>
    <mergeCell ref="AB59:AE59"/>
    <mergeCell ref="AF57:AM57"/>
    <mergeCell ref="C58:F58"/>
    <mergeCell ref="G58:M58"/>
    <mergeCell ref="N58:Q58"/>
    <mergeCell ref="R58:T58"/>
    <mergeCell ref="U58:AA58"/>
    <mergeCell ref="AB58:AE58"/>
    <mergeCell ref="AF58:AM58"/>
    <mergeCell ref="C57:F57"/>
    <mergeCell ref="G57:M57"/>
    <mergeCell ref="N57:Q57"/>
    <mergeCell ref="R57:T57"/>
    <mergeCell ref="U57:AA57"/>
    <mergeCell ref="AB57:AE57"/>
    <mergeCell ref="AF55:AM55"/>
    <mergeCell ref="C56:F56"/>
    <mergeCell ref="G56:M56"/>
    <mergeCell ref="N56:Q56"/>
    <mergeCell ref="R56:T56"/>
    <mergeCell ref="U56:AA56"/>
    <mergeCell ref="AB56:AE56"/>
    <mergeCell ref="AF56:AM56"/>
    <mergeCell ref="C55:F55"/>
    <mergeCell ref="G55:M55"/>
    <mergeCell ref="N55:Q55"/>
    <mergeCell ref="R55:T55"/>
    <mergeCell ref="U55:AA55"/>
    <mergeCell ref="AB55:AE55"/>
    <mergeCell ref="AF53:AM53"/>
    <mergeCell ref="C54:F54"/>
    <mergeCell ref="G54:M54"/>
    <mergeCell ref="N54:Q54"/>
    <mergeCell ref="R54:T54"/>
    <mergeCell ref="U54:AA54"/>
    <mergeCell ref="AB54:AE54"/>
    <mergeCell ref="AF54:AM54"/>
    <mergeCell ref="C53:F53"/>
    <mergeCell ref="G53:M53"/>
    <mergeCell ref="N53:Q53"/>
    <mergeCell ref="R53:T53"/>
    <mergeCell ref="U53:AA53"/>
    <mergeCell ref="AB53:AE53"/>
    <mergeCell ref="AF51:AM51"/>
    <mergeCell ref="C52:F52"/>
    <mergeCell ref="G52:M52"/>
    <mergeCell ref="N52:Q52"/>
    <mergeCell ref="R52:T52"/>
    <mergeCell ref="U52:AA52"/>
    <mergeCell ref="AB52:AE52"/>
    <mergeCell ref="AF52:AM52"/>
    <mergeCell ref="C51:F51"/>
    <mergeCell ref="G51:M51"/>
    <mergeCell ref="N51:Q51"/>
    <mergeCell ref="R51:T51"/>
    <mergeCell ref="U51:AA51"/>
    <mergeCell ref="AB51:AE51"/>
    <mergeCell ref="AF49:AM49"/>
    <mergeCell ref="C50:F50"/>
    <mergeCell ref="G50:M50"/>
    <mergeCell ref="N50:Q50"/>
    <mergeCell ref="R50:T50"/>
    <mergeCell ref="U50:AA50"/>
    <mergeCell ref="AB50:AE50"/>
    <mergeCell ref="AF50:AM50"/>
    <mergeCell ref="C49:F49"/>
    <mergeCell ref="G49:M49"/>
    <mergeCell ref="N49:Q49"/>
    <mergeCell ref="R49:T49"/>
    <mergeCell ref="U49:AA49"/>
    <mergeCell ref="AB49:AE49"/>
    <mergeCell ref="AF47:AM47"/>
    <mergeCell ref="C48:F48"/>
    <mergeCell ref="G48:M48"/>
    <mergeCell ref="N48:Q48"/>
    <mergeCell ref="R48:T48"/>
    <mergeCell ref="U48:AA48"/>
    <mergeCell ref="AB48:AE48"/>
    <mergeCell ref="AF48:AM48"/>
    <mergeCell ref="C47:F47"/>
    <mergeCell ref="G47:M47"/>
    <mergeCell ref="N47:Q47"/>
    <mergeCell ref="R47:T47"/>
    <mergeCell ref="U47:AA47"/>
    <mergeCell ref="AB47:AE47"/>
    <mergeCell ref="AF45:AM45"/>
    <mergeCell ref="C46:F46"/>
    <mergeCell ref="G46:M46"/>
    <mergeCell ref="N46:Q46"/>
    <mergeCell ref="R46:T46"/>
    <mergeCell ref="U46:AA46"/>
    <mergeCell ref="AB46:AE46"/>
    <mergeCell ref="AF46:AM46"/>
    <mergeCell ref="C45:F45"/>
    <mergeCell ref="G45:M45"/>
    <mergeCell ref="N45:Q45"/>
    <mergeCell ref="R45:T45"/>
    <mergeCell ref="U45:AA45"/>
    <mergeCell ref="AB45:AE45"/>
    <mergeCell ref="AF43:AM43"/>
    <mergeCell ref="C44:F44"/>
    <mergeCell ref="G44:M44"/>
    <mergeCell ref="N44:Q44"/>
    <mergeCell ref="R44:T44"/>
    <mergeCell ref="U44:AA44"/>
    <mergeCell ref="AB44:AE44"/>
    <mergeCell ref="AF44:AM44"/>
    <mergeCell ref="C43:F43"/>
    <mergeCell ref="G43:M43"/>
    <mergeCell ref="N43:Q43"/>
    <mergeCell ref="R43:T43"/>
    <mergeCell ref="U43:AA43"/>
    <mergeCell ref="AB43:AE43"/>
  </mergeCells>
  <hyperlinks>
    <hyperlink ref="M1" r:id="rId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1"/>
  <sheetViews>
    <sheetView tabSelected="1" topLeftCell="A10" workbookViewId="0">
      <selection activeCell="E33" sqref="E33"/>
    </sheetView>
  </sheetViews>
  <sheetFormatPr defaultRowHeight="15" x14ac:dyDescent="0.25"/>
  <cols>
    <col min="4" max="4" width="29" bestFit="1" customWidth="1"/>
    <col min="5" max="5" width="18.5703125" bestFit="1" customWidth="1"/>
    <col min="10" max="10" width="11.7109375" bestFit="1" customWidth="1"/>
  </cols>
  <sheetData>
    <row r="1" spans="2:11" s="10" customFormat="1" x14ac:dyDescent="0.25">
      <c r="B1" s="10" t="s">
        <v>167</v>
      </c>
      <c r="C1" s="10" t="s">
        <v>16</v>
      </c>
      <c r="D1" s="10" t="s">
        <v>17</v>
      </c>
      <c r="E1" s="10" t="s">
        <v>18</v>
      </c>
      <c r="F1" s="10" t="s">
        <v>0</v>
      </c>
      <c r="G1" s="10" t="s">
        <v>19</v>
      </c>
      <c r="H1" s="10" t="s">
        <v>18</v>
      </c>
      <c r="I1" s="10" t="s">
        <v>155</v>
      </c>
      <c r="J1" s="10" t="s">
        <v>20</v>
      </c>
      <c r="K1" s="10" t="s">
        <v>21</v>
      </c>
    </row>
    <row r="2" spans="2:11" x14ac:dyDescent="0.25">
      <c r="B2">
        <v>1</v>
      </c>
      <c r="C2" t="s">
        <v>22</v>
      </c>
      <c r="D2" t="s">
        <v>23</v>
      </c>
      <c r="E2" t="s">
        <v>24</v>
      </c>
      <c r="F2">
        <v>1916</v>
      </c>
      <c r="G2">
        <v>1</v>
      </c>
      <c r="H2">
        <v>1916</v>
      </c>
      <c r="I2">
        <v>3</v>
      </c>
      <c r="J2" t="s">
        <v>25</v>
      </c>
      <c r="K2" t="s">
        <v>26</v>
      </c>
    </row>
    <row r="3" spans="2:11" x14ac:dyDescent="0.25">
      <c r="B3">
        <v>2</v>
      </c>
      <c r="C3" t="s">
        <v>22</v>
      </c>
      <c r="D3" t="s">
        <v>27</v>
      </c>
      <c r="E3" t="s">
        <v>28</v>
      </c>
      <c r="F3">
        <v>1916</v>
      </c>
      <c r="G3">
        <v>6</v>
      </c>
      <c r="J3" t="s">
        <v>29</v>
      </c>
      <c r="K3" t="s">
        <v>124</v>
      </c>
    </row>
    <row r="4" spans="2:11" x14ac:dyDescent="0.25">
      <c r="B4">
        <v>3</v>
      </c>
      <c r="C4" t="s">
        <v>56</v>
      </c>
      <c r="D4" t="s">
        <v>57</v>
      </c>
      <c r="E4" t="s">
        <v>58</v>
      </c>
      <c r="F4">
        <v>1916</v>
      </c>
      <c r="G4">
        <v>115</v>
      </c>
      <c r="J4">
        <v>700</v>
      </c>
      <c r="K4" t="s">
        <v>135</v>
      </c>
    </row>
    <row r="5" spans="2:11" x14ac:dyDescent="0.25">
      <c r="B5">
        <v>4</v>
      </c>
      <c r="C5" t="s">
        <v>333</v>
      </c>
      <c r="D5" t="s">
        <v>334</v>
      </c>
      <c r="E5" t="s">
        <v>326</v>
      </c>
      <c r="F5">
        <v>1920</v>
      </c>
      <c r="G5">
        <v>0</v>
      </c>
      <c r="H5">
        <v>1920</v>
      </c>
      <c r="I5">
        <v>2</v>
      </c>
      <c r="J5" t="s">
        <v>335</v>
      </c>
      <c r="K5" t="s">
        <v>336</v>
      </c>
    </row>
    <row r="6" spans="2:11" x14ac:dyDescent="0.25">
      <c r="B6">
        <v>5</v>
      </c>
      <c r="C6" t="s">
        <v>84</v>
      </c>
      <c r="D6" t="s">
        <v>85</v>
      </c>
      <c r="E6" t="s">
        <v>86</v>
      </c>
      <c r="F6">
        <v>1921</v>
      </c>
      <c r="G6">
        <v>19</v>
      </c>
      <c r="H6">
        <v>1921</v>
      </c>
      <c r="I6">
        <v>2</v>
      </c>
      <c r="J6">
        <v>30</v>
      </c>
      <c r="K6" t="s">
        <v>87</v>
      </c>
    </row>
    <row r="7" spans="2:11" x14ac:dyDescent="0.25">
      <c r="B7">
        <v>6</v>
      </c>
      <c r="C7" t="s">
        <v>84</v>
      </c>
      <c r="D7" t="s">
        <v>88</v>
      </c>
      <c r="E7" t="s">
        <v>89</v>
      </c>
      <c r="F7">
        <v>1921</v>
      </c>
      <c r="G7">
        <v>561</v>
      </c>
      <c r="J7">
        <v>450</v>
      </c>
      <c r="K7" t="s">
        <v>141</v>
      </c>
    </row>
    <row r="8" spans="2:11" x14ac:dyDescent="0.25">
      <c r="B8">
        <v>7</v>
      </c>
      <c r="C8" t="s">
        <v>22</v>
      </c>
      <c r="D8" t="s">
        <v>30</v>
      </c>
      <c r="E8" t="s">
        <v>31</v>
      </c>
      <c r="F8">
        <v>1924</v>
      </c>
      <c r="G8">
        <v>20</v>
      </c>
      <c r="H8">
        <v>1924</v>
      </c>
      <c r="I8">
        <v>1</v>
      </c>
      <c r="J8">
        <v>2</v>
      </c>
      <c r="K8" t="s">
        <v>125</v>
      </c>
    </row>
    <row r="9" spans="2:11" x14ac:dyDescent="0.25">
      <c r="B9">
        <v>8</v>
      </c>
      <c r="C9" t="s">
        <v>22</v>
      </c>
      <c r="D9" t="s">
        <v>32</v>
      </c>
      <c r="E9" t="s">
        <v>33</v>
      </c>
      <c r="F9">
        <v>1925</v>
      </c>
      <c r="G9">
        <v>0</v>
      </c>
      <c r="H9">
        <v>1925</v>
      </c>
      <c r="I9">
        <v>1</v>
      </c>
      <c r="K9" t="s">
        <v>126</v>
      </c>
    </row>
    <row r="10" spans="2:11" x14ac:dyDescent="0.25">
      <c r="B10">
        <v>9</v>
      </c>
      <c r="C10" t="s">
        <v>333</v>
      </c>
      <c r="D10" t="s">
        <v>337</v>
      </c>
      <c r="E10" t="s">
        <v>331</v>
      </c>
      <c r="F10">
        <v>1925</v>
      </c>
      <c r="G10">
        <v>0</v>
      </c>
      <c r="I10">
        <v>1</v>
      </c>
      <c r="J10" t="s">
        <v>338</v>
      </c>
      <c r="K10" t="s">
        <v>330</v>
      </c>
    </row>
    <row r="11" spans="2:11" x14ac:dyDescent="0.25">
      <c r="B11">
        <v>10</v>
      </c>
      <c r="C11" t="s">
        <v>90</v>
      </c>
      <c r="D11" t="s">
        <v>91</v>
      </c>
      <c r="E11" t="s">
        <v>92</v>
      </c>
      <c r="F11">
        <v>1940</v>
      </c>
      <c r="G11">
        <v>0</v>
      </c>
      <c r="H11">
        <v>1940</v>
      </c>
      <c r="I11">
        <v>1</v>
      </c>
      <c r="J11">
        <v>240</v>
      </c>
      <c r="K11" t="s">
        <v>93</v>
      </c>
    </row>
    <row r="12" spans="2:11" x14ac:dyDescent="0.25">
      <c r="B12">
        <v>11</v>
      </c>
      <c r="C12" t="s">
        <v>115</v>
      </c>
      <c r="D12" t="s">
        <v>116</v>
      </c>
      <c r="E12" t="s">
        <v>117</v>
      </c>
      <c r="F12">
        <v>1942</v>
      </c>
      <c r="G12">
        <v>189</v>
      </c>
      <c r="H12">
        <v>1942</v>
      </c>
      <c r="I12">
        <v>1</v>
      </c>
      <c r="J12">
        <v>150</v>
      </c>
      <c r="K12" t="s">
        <v>118</v>
      </c>
    </row>
    <row r="13" spans="2:11" x14ac:dyDescent="0.25">
      <c r="B13">
        <v>12</v>
      </c>
      <c r="C13" t="s">
        <v>22</v>
      </c>
      <c r="D13" t="s">
        <v>34</v>
      </c>
      <c r="E13" t="s">
        <v>35</v>
      </c>
      <c r="F13">
        <v>1947</v>
      </c>
      <c r="G13">
        <v>581</v>
      </c>
      <c r="H13">
        <v>1947</v>
      </c>
      <c r="I13">
        <v>4</v>
      </c>
      <c r="J13" t="s">
        <v>154</v>
      </c>
      <c r="K13" t="s">
        <v>127</v>
      </c>
    </row>
    <row r="14" spans="2:11" x14ac:dyDescent="0.25">
      <c r="B14">
        <v>13</v>
      </c>
      <c r="C14" t="s">
        <v>22</v>
      </c>
      <c r="D14" t="s">
        <v>36</v>
      </c>
      <c r="E14" t="s">
        <v>37</v>
      </c>
      <c r="F14">
        <v>1947</v>
      </c>
      <c r="G14">
        <v>0</v>
      </c>
      <c r="J14">
        <v>217</v>
      </c>
      <c r="K14" t="s">
        <v>38</v>
      </c>
    </row>
    <row r="15" spans="2:11" x14ac:dyDescent="0.25">
      <c r="B15">
        <v>14</v>
      </c>
      <c r="C15" t="s">
        <v>90</v>
      </c>
      <c r="D15" t="s">
        <v>94</v>
      </c>
      <c r="E15" t="s">
        <v>95</v>
      </c>
      <c r="F15">
        <v>1947</v>
      </c>
      <c r="G15">
        <v>29</v>
      </c>
      <c r="J15" t="s">
        <v>96</v>
      </c>
      <c r="K15" t="s">
        <v>142</v>
      </c>
    </row>
    <row r="16" spans="2:11" x14ac:dyDescent="0.25">
      <c r="B16">
        <v>15</v>
      </c>
      <c r="C16" t="s">
        <v>112</v>
      </c>
      <c r="D16" t="s">
        <v>113</v>
      </c>
      <c r="E16" t="s">
        <v>166</v>
      </c>
      <c r="F16">
        <v>1947</v>
      </c>
      <c r="G16">
        <v>0</v>
      </c>
      <c r="J16">
        <v>360</v>
      </c>
      <c r="K16" t="s">
        <v>114</v>
      </c>
    </row>
    <row r="17" spans="2:11" x14ac:dyDescent="0.25">
      <c r="B17">
        <v>16</v>
      </c>
      <c r="C17" t="s">
        <v>327</v>
      </c>
      <c r="D17" t="s">
        <v>339</v>
      </c>
      <c r="E17" t="s">
        <v>328</v>
      </c>
      <c r="F17">
        <v>1953</v>
      </c>
      <c r="G17">
        <v>0</v>
      </c>
      <c r="J17" t="s">
        <v>329</v>
      </c>
      <c r="K17" t="s">
        <v>340</v>
      </c>
    </row>
    <row r="18" spans="2:11" x14ac:dyDescent="0.25">
      <c r="B18">
        <v>17</v>
      </c>
      <c r="C18" t="s">
        <v>22</v>
      </c>
      <c r="D18" t="s">
        <v>39</v>
      </c>
      <c r="E18" t="s">
        <v>40</v>
      </c>
      <c r="F18">
        <v>1959</v>
      </c>
      <c r="G18">
        <v>14</v>
      </c>
      <c r="H18">
        <v>1959</v>
      </c>
      <c r="I18">
        <v>1</v>
      </c>
      <c r="J18" t="s">
        <v>41</v>
      </c>
      <c r="K18" t="s">
        <v>128</v>
      </c>
    </row>
    <row r="19" spans="2:11" x14ac:dyDescent="0.25">
      <c r="B19">
        <v>18</v>
      </c>
      <c r="C19" t="s">
        <v>22</v>
      </c>
      <c r="D19" t="s">
        <v>42</v>
      </c>
      <c r="E19" t="s">
        <v>43</v>
      </c>
      <c r="F19">
        <v>1960</v>
      </c>
      <c r="G19">
        <v>0</v>
      </c>
      <c r="H19">
        <v>1960</v>
      </c>
      <c r="I19">
        <v>1</v>
      </c>
      <c r="J19" t="s">
        <v>44</v>
      </c>
      <c r="K19" t="s">
        <v>129</v>
      </c>
    </row>
    <row r="20" spans="2:11" x14ac:dyDescent="0.25">
      <c r="B20">
        <v>19</v>
      </c>
      <c r="C20" t="s">
        <v>103</v>
      </c>
      <c r="D20" t="s">
        <v>104</v>
      </c>
      <c r="E20" t="s">
        <v>105</v>
      </c>
      <c r="F20">
        <v>1963</v>
      </c>
      <c r="G20">
        <v>10</v>
      </c>
      <c r="H20">
        <v>1963</v>
      </c>
      <c r="I20">
        <v>1</v>
      </c>
      <c r="J20">
        <v>10</v>
      </c>
      <c r="K20" t="s">
        <v>106</v>
      </c>
    </row>
    <row r="21" spans="2:11" x14ac:dyDescent="0.25">
      <c r="B21">
        <v>20</v>
      </c>
      <c r="C21" t="s">
        <v>119</v>
      </c>
      <c r="D21" t="s">
        <v>120</v>
      </c>
      <c r="E21" t="s">
        <v>121</v>
      </c>
      <c r="F21">
        <v>1972</v>
      </c>
      <c r="G21">
        <v>3</v>
      </c>
      <c r="H21">
        <v>1972</v>
      </c>
      <c r="I21">
        <v>1</v>
      </c>
      <c r="J21">
        <v>12</v>
      </c>
      <c r="K21" t="s">
        <v>147</v>
      </c>
    </row>
    <row r="22" spans="2:11" x14ac:dyDescent="0.25">
      <c r="B22">
        <v>21</v>
      </c>
      <c r="C22" t="s">
        <v>22</v>
      </c>
      <c r="D22" t="s">
        <v>45</v>
      </c>
      <c r="E22" t="s">
        <v>46</v>
      </c>
      <c r="F22">
        <v>1988</v>
      </c>
      <c r="G22">
        <v>6</v>
      </c>
      <c r="H22">
        <v>1988</v>
      </c>
      <c r="I22">
        <v>1</v>
      </c>
      <c r="J22" t="s">
        <v>47</v>
      </c>
      <c r="K22" t="s">
        <v>130</v>
      </c>
    </row>
    <row r="23" spans="2:11" x14ac:dyDescent="0.25">
      <c r="B23">
        <v>22</v>
      </c>
      <c r="C23" t="s">
        <v>22</v>
      </c>
      <c r="D23" t="s">
        <v>48</v>
      </c>
      <c r="E23" t="s">
        <v>49</v>
      </c>
      <c r="F23">
        <v>1994</v>
      </c>
      <c r="G23">
        <v>4</v>
      </c>
      <c r="H23">
        <v>1994</v>
      </c>
      <c r="I23">
        <v>2</v>
      </c>
      <c r="K23" t="s">
        <v>131</v>
      </c>
    </row>
    <row r="24" spans="2:11" x14ac:dyDescent="0.25">
      <c r="B24">
        <v>23</v>
      </c>
      <c r="C24" t="s">
        <v>70</v>
      </c>
      <c r="D24" t="s">
        <v>71</v>
      </c>
      <c r="E24" t="s">
        <v>72</v>
      </c>
      <c r="F24">
        <v>1994</v>
      </c>
      <c r="G24">
        <v>11</v>
      </c>
      <c r="J24" t="s">
        <v>73</v>
      </c>
      <c r="K24" t="s">
        <v>137</v>
      </c>
    </row>
    <row r="25" spans="2:11" x14ac:dyDescent="0.25">
      <c r="B25">
        <v>24</v>
      </c>
      <c r="C25" t="s">
        <v>107</v>
      </c>
      <c r="D25" t="s">
        <v>144</v>
      </c>
      <c r="E25" t="s">
        <v>108</v>
      </c>
      <c r="F25">
        <v>1998</v>
      </c>
      <c r="G25">
        <v>22</v>
      </c>
      <c r="H25">
        <v>1998</v>
      </c>
      <c r="I25">
        <v>1</v>
      </c>
      <c r="J25" t="s">
        <v>109</v>
      </c>
      <c r="K25" t="s">
        <v>145</v>
      </c>
    </row>
    <row r="26" spans="2:11" x14ac:dyDescent="0.25">
      <c r="B26">
        <v>25</v>
      </c>
      <c r="C26" t="s">
        <v>90</v>
      </c>
      <c r="D26" t="s">
        <v>97</v>
      </c>
      <c r="E26" t="s">
        <v>98</v>
      </c>
      <c r="F26">
        <v>2001</v>
      </c>
      <c r="G26">
        <v>31</v>
      </c>
      <c r="H26">
        <v>2001</v>
      </c>
      <c r="I26">
        <v>1</v>
      </c>
      <c r="J26" t="s">
        <v>99</v>
      </c>
      <c r="K26" t="s">
        <v>143</v>
      </c>
    </row>
    <row r="27" spans="2:11" x14ac:dyDescent="0.25">
      <c r="B27">
        <v>26</v>
      </c>
      <c r="C27" t="s">
        <v>59</v>
      </c>
      <c r="D27" t="s">
        <v>60</v>
      </c>
      <c r="E27" t="s">
        <v>164</v>
      </c>
      <c r="F27">
        <v>2003</v>
      </c>
      <c r="G27">
        <v>0</v>
      </c>
      <c r="H27">
        <v>2003</v>
      </c>
      <c r="I27">
        <v>2</v>
      </c>
      <c r="K27" t="s">
        <v>61</v>
      </c>
    </row>
    <row r="28" spans="2:11" x14ac:dyDescent="0.25">
      <c r="B28">
        <v>27</v>
      </c>
      <c r="C28" t="s">
        <v>90</v>
      </c>
      <c r="D28" t="s">
        <v>100</v>
      </c>
      <c r="E28" t="s">
        <v>101</v>
      </c>
      <c r="F28">
        <v>2003</v>
      </c>
      <c r="G28">
        <v>0</v>
      </c>
      <c r="J28">
        <v>44684</v>
      </c>
      <c r="K28" t="s">
        <v>102</v>
      </c>
    </row>
    <row r="29" spans="2:11" x14ac:dyDescent="0.25">
      <c r="B29">
        <v>28</v>
      </c>
      <c r="C29" t="s">
        <v>59</v>
      </c>
      <c r="D29" t="s">
        <v>62</v>
      </c>
      <c r="E29" t="s">
        <v>63</v>
      </c>
      <c r="F29">
        <v>2004</v>
      </c>
      <c r="G29">
        <v>2</v>
      </c>
      <c r="H29">
        <v>2004</v>
      </c>
      <c r="I29">
        <v>4</v>
      </c>
      <c r="J29">
        <v>25</v>
      </c>
      <c r="K29" t="s">
        <v>64</v>
      </c>
    </row>
    <row r="30" spans="2:11" x14ac:dyDescent="0.25">
      <c r="B30">
        <v>29</v>
      </c>
      <c r="C30" t="s">
        <v>66</v>
      </c>
      <c r="D30" t="s">
        <v>67</v>
      </c>
      <c r="E30" t="s">
        <v>68</v>
      </c>
      <c r="F30">
        <v>2004</v>
      </c>
      <c r="G30">
        <v>18</v>
      </c>
      <c r="J30">
        <v>20</v>
      </c>
      <c r="K30" t="s">
        <v>69</v>
      </c>
    </row>
    <row r="31" spans="2:11" x14ac:dyDescent="0.25">
      <c r="B31">
        <v>30</v>
      </c>
      <c r="C31" t="s">
        <v>74</v>
      </c>
      <c r="D31" t="s">
        <v>75</v>
      </c>
      <c r="E31" t="s">
        <v>76</v>
      </c>
      <c r="F31">
        <v>2004</v>
      </c>
      <c r="G31">
        <v>162</v>
      </c>
      <c r="K31" t="s">
        <v>138</v>
      </c>
    </row>
    <row r="32" spans="2:11" x14ac:dyDescent="0.25">
      <c r="B32">
        <v>31</v>
      </c>
      <c r="C32" t="s">
        <v>332</v>
      </c>
      <c r="D32" t="s">
        <v>341</v>
      </c>
      <c r="E32" t="s">
        <v>343</v>
      </c>
      <c r="F32">
        <v>2004</v>
      </c>
      <c r="G32">
        <v>300</v>
      </c>
      <c r="J32">
        <v>399</v>
      </c>
      <c r="K32" t="s">
        <v>342</v>
      </c>
    </row>
    <row r="33" spans="2:11" x14ac:dyDescent="0.25">
      <c r="B33">
        <v>32</v>
      </c>
      <c r="C33" t="s">
        <v>59</v>
      </c>
      <c r="D33" t="s">
        <v>65</v>
      </c>
      <c r="E33" t="s">
        <v>165</v>
      </c>
      <c r="F33">
        <v>2007</v>
      </c>
      <c r="G33">
        <v>0</v>
      </c>
      <c r="H33">
        <v>2007</v>
      </c>
      <c r="I33">
        <v>2</v>
      </c>
      <c r="J33">
        <v>400</v>
      </c>
      <c r="K33" t="s">
        <v>136</v>
      </c>
    </row>
    <row r="34" spans="2:11" x14ac:dyDescent="0.25">
      <c r="B34">
        <v>33</v>
      </c>
      <c r="C34" t="s">
        <v>77</v>
      </c>
      <c r="D34" t="s">
        <v>78</v>
      </c>
      <c r="E34" t="s">
        <v>79</v>
      </c>
      <c r="F34">
        <v>2007</v>
      </c>
      <c r="G34">
        <v>28</v>
      </c>
      <c r="J34" t="s">
        <v>80</v>
      </c>
      <c r="K34" t="s">
        <v>139</v>
      </c>
    </row>
    <row r="35" spans="2:11" x14ac:dyDescent="0.25">
      <c r="B35">
        <v>34</v>
      </c>
      <c r="C35" t="s">
        <v>22</v>
      </c>
      <c r="D35" t="s">
        <v>50</v>
      </c>
      <c r="E35" t="s">
        <v>51</v>
      </c>
      <c r="F35">
        <v>2009</v>
      </c>
      <c r="G35">
        <v>0</v>
      </c>
      <c r="H35">
        <v>2009</v>
      </c>
      <c r="I35">
        <v>1</v>
      </c>
      <c r="K35" t="s">
        <v>132</v>
      </c>
    </row>
    <row r="36" spans="2:11" x14ac:dyDescent="0.25">
      <c r="B36">
        <v>35</v>
      </c>
      <c r="C36" t="s">
        <v>22</v>
      </c>
      <c r="D36" t="s">
        <v>52</v>
      </c>
      <c r="E36" t="s">
        <v>53</v>
      </c>
      <c r="F36">
        <v>2013</v>
      </c>
      <c r="G36">
        <v>15</v>
      </c>
      <c r="H36">
        <v>2013</v>
      </c>
      <c r="I36">
        <v>1</v>
      </c>
      <c r="J36">
        <v>240</v>
      </c>
      <c r="K36" t="s">
        <v>133</v>
      </c>
    </row>
    <row r="37" spans="2:11" x14ac:dyDescent="0.25">
      <c r="B37">
        <v>36</v>
      </c>
      <c r="C37" t="s">
        <v>119</v>
      </c>
      <c r="D37" t="s">
        <v>122</v>
      </c>
      <c r="E37" t="s">
        <v>123</v>
      </c>
      <c r="F37">
        <v>2014</v>
      </c>
      <c r="G37">
        <v>0</v>
      </c>
      <c r="H37">
        <v>2014</v>
      </c>
      <c r="I37">
        <v>1</v>
      </c>
      <c r="J37">
        <v>56</v>
      </c>
      <c r="K37" t="s">
        <v>148</v>
      </c>
    </row>
    <row r="38" spans="2:11" x14ac:dyDescent="0.25">
      <c r="B38">
        <v>37</v>
      </c>
      <c r="C38" t="s">
        <v>107</v>
      </c>
      <c r="D38" t="s">
        <v>110</v>
      </c>
      <c r="E38" t="s">
        <v>111</v>
      </c>
      <c r="F38">
        <v>2015</v>
      </c>
      <c r="G38">
        <v>173</v>
      </c>
      <c r="H38">
        <v>2015</v>
      </c>
      <c r="I38">
        <v>1</v>
      </c>
      <c r="J38">
        <v>800</v>
      </c>
      <c r="K38" t="s">
        <v>146</v>
      </c>
    </row>
    <row r="39" spans="2:11" x14ac:dyDescent="0.25">
      <c r="B39">
        <v>38</v>
      </c>
      <c r="C39" t="s">
        <v>81</v>
      </c>
      <c r="D39" t="s">
        <v>82</v>
      </c>
      <c r="E39" t="s">
        <v>83</v>
      </c>
      <c r="F39">
        <v>2020</v>
      </c>
      <c r="G39">
        <v>218</v>
      </c>
      <c r="H39">
        <v>2020</v>
      </c>
      <c r="I39">
        <v>1</v>
      </c>
      <c r="J39">
        <v>2.75</v>
      </c>
      <c r="K39" t="s">
        <v>140</v>
      </c>
    </row>
    <row r="40" spans="2:11" x14ac:dyDescent="0.25">
      <c r="B40">
        <v>39</v>
      </c>
      <c r="C40" t="s">
        <v>22</v>
      </c>
      <c r="D40" t="s">
        <v>54</v>
      </c>
      <c r="E40" t="s">
        <v>55</v>
      </c>
      <c r="F40">
        <v>2022</v>
      </c>
      <c r="G40">
        <v>0</v>
      </c>
      <c r="H40">
        <v>2022</v>
      </c>
      <c r="I40">
        <v>1</v>
      </c>
      <c r="K40" t="s">
        <v>134</v>
      </c>
    </row>
    <row r="41" spans="2:11" x14ac:dyDescent="0.25">
      <c r="G41">
        <f>SUM(G2:G40)</f>
        <v>2538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Nitrate</vt:lpstr>
      <vt:lpstr>Nitrate_2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2023-12-05T15:05:16Z</dcterms:modified>
</cp:coreProperties>
</file>